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iapan Bekerja\Project\Individual\Pharmaceutical Sales Analysis\"/>
    </mc:Choice>
  </mc:AlternateContent>
  <xr:revisionPtr revIDLastSave="0" documentId="13_ncr:1_{304329F0-2421-4BD4-9D2D-980D37F58956}" xr6:coauthVersionLast="47" xr6:coauthVersionMax="47" xr10:uidLastSave="{00000000-0000-0000-0000-000000000000}"/>
  <bookViews>
    <workbookView xWindow="-28920" yWindow="7500" windowWidth="29040" windowHeight="16440" xr2:uid="{17264B54-3CF2-45ED-B62E-281BBADA91A1}"/>
  </bookViews>
  <sheets>
    <sheet name="city" sheetId="1" r:id="rId1"/>
    <sheet name="cities with state_de" sheetId="7" r:id="rId2"/>
    <sheet name="cities_state_pl" sheetId="10" r:id="rId3"/>
    <sheet name="cities_state" sheetId="11" r:id="rId4"/>
    <sheet name="Sheet3" sheetId="8" r:id="rId5"/>
  </sheets>
  <definedNames>
    <definedName name="ExternalData_1" localSheetId="1" hidden="1">'cities with state_de'!$A$1:$B$613</definedName>
    <definedName name="ExternalData_1" localSheetId="2" hidden="1">'cities_state_pl'!$A$1:$B$185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 a="1"/>
  <c r="F3" i="8" s="1"/>
  <c r="F4" i="8" a="1"/>
  <c r="F4" i="8" s="1"/>
  <c r="F5" i="8" a="1"/>
  <c r="F5" i="8" s="1"/>
  <c r="F6" i="8" a="1"/>
  <c r="F6" i="8" s="1"/>
  <c r="F7" i="8" a="1"/>
  <c r="F7" i="8" s="1"/>
  <c r="F8" i="8" a="1"/>
  <c r="F8" i="8"/>
  <c r="F9" i="8" a="1"/>
  <c r="F9" i="8"/>
  <c r="F10" i="8" a="1"/>
  <c r="F10" i="8"/>
  <c r="F11" i="8" a="1"/>
  <c r="F11" i="8" s="1"/>
  <c r="F12" i="8" a="1"/>
  <c r="F12" i="8" s="1"/>
  <c r="F13" i="8" a="1"/>
  <c r="F13" i="8" s="1"/>
  <c r="F14" i="8" a="1"/>
  <c r="F14" i="8" s="1"/>
  <c r="F15" i="8" a="1"/>
  <c r="F15" i="8" s="1"/>
  <c r="F16" i="8" a="1"/>
  <c r="F16" i="8"/>
  <c r="F17" i="8" a="1"/>
  <c r="F17" i="8"/>
  <c r="F18" i="8" a="1"/>
  <c r="F18" i="8"/>
  <c r="F19" i="8" a="1"/>
  <c r="F19" i="8" s="1"/>
  <c r="F20" i="8" a="1"/>
  <c r="F20" i="8" s="1"/>
  <c r="F21" i="8" a="1"/>
  <c r="F21" i="8" s="1"/>
  <c r="F22" i="8" a="1"/>
  <c r="F22" i="8" s="1"/>
  <c r="F23" i="8" a="1"/>
  <c r="F23" i="8" s="1"/>
  <c r="F24" i="8" a="1"/>
  <c r="F24" i="8"/>
  <c r="F25" i="8" a="1"/>
  <c r="F25" i="8"/>
  <c r="F26" i="8" a="1"/>
  <c r="F26" i="8"/>
  <c r="F27" i="8" a="1"/>
  <c r="F27" i="8" s="1"/>
  <c r="F28" i="8" a="1"/>
  <c r="F28" i="8" s="1"/>
  <c r="F29" i="8" a="1"/>
  <c r="F29" i="8" s="1"/>
  <c r="F30" i="8" a="1"/>
  <c r="F30" i="8" s="1"/>
  <c r="F31" i="8" a="1"/>
  <c r="F31" i="8" s="1"/>
  <c r="F32" i="8" a="1"/>
  <c r="F32" i="8"/>
  <c r="F33" i="8" a="1"/>
  <c r="F33" i="8"/>
  <c r="F34" i="8" a="1"/>
  <c r="F34" i="8"/>
  <c r="F35" i="8" a="1"/>
  <c r="F35" i="8" s="1"/>
  <c r="F36" i="8" a="1"/>
  <c r="F36" i="8" s="1"/>
  <c r="F37" i="8" a="1"/>
  <c r="F37" i="8" s="1"/>
  <c r="F38" i="8" a="1"/>
  <c r="F38" i="8" s="1"/>
  <c r="F39" i="8" a="1"/>
  <c r="F39" i="8" s="1"/>
  <c r="F40" i="8" a="1"/>
  <c r="F40" i="8"/>
  <c r="F41" i="8" a="1"/>
  <c r="F41" i="8"/>
  <c r="F42" i="8" a="1"/>
  <c r="F42" i="8"/>
  <c r="F43" i="8" a="1"/>
  <c r="F43" i="8" s="1"/>
  <c r="F44" i="8" a="1"/>
  <c r="F44" i="8" s="1"/>
  <c r="F45" i="8" a="1"/>
  <c r="F45" i="8" s="1"/>
  <c r="F46" i="8" a="1"/>
  <c r="F46" i="8" s="1"/>
  <c r="F47" i="8" a="1"/>
  <c r="F47" i="8" s="1"/>
  <c r="F48" i="8" a="1"/>
  <c r="F48" i="8"/>
  <c r="F49" i="8" a="1"/>
  <c r="F49" i="8"/>
  <c r="F50" i="8" a="1"/>
  <c r="F50" i="8"/>
  <c r="F51" i="8" a="1"/>
  <c r="F51" i="8" s="1"/>
  <c r="F52" i="8" a="1"/>
  <c r="F52" i="8" s="1"/>
  <c r="F53" i="8" a="1"/>
  <c r="F53" i="8" s="1"/>
  <c r="F54" i="8" a="1"/>
  <c r="F54" i="8" s="1"/>
  <c r="F55" i="8" a="1"/>
  <c r="F55" i="8" s="1"/>
  <c r="F56" i="8" a="1"/>
  <c r="F56" i="8"/>
  <c r="F57" i="8" a="1"/>
  <c r="F57" i="8"/>
  <c r="F58" i="8" a="1"/>
  <c r="F58" i="8" s="1"/>
  <c r="F59" i="8" a="1"/>
  <c r="F59" i="8" s="1"/>
  <c r="F60" i="8" a="1"/>
  <c r="F60" i="8" s="1"/>
  <c r="F61" i="8" a="1"/>
  <c r="F61" i="8" s="1"/>
  <c r="F62" i="8" a="1"/>
  <c r="F62" i="8" s="1"/>
  <c r="F63" i="8" a="1"/>
  <c r="F63" i="8" s="1"/>
  <c r="F64" i="8" a="1"/>
  <c r="F64" i="8"/>
  <c r="F65" i="8" a="1"/>
  <c r="F65" i="8"/>
  <c r="F66" i="8" a="1"/>
  <c r="F66" i="8" s="1"/>
  <c r="F67" i="8" a="1"/>
  <c r="F67" i="8" s="1"/>
  <c r="F68" i="8" a="1"/>
  <c r="F68" i="8" s="1"/>
  <c r="F69" i="8" a="1"/>
  <c r="F69" i="8" s="1"/>
  <c r="F70" i="8" a="1"/>
  <c r="F70" i="8" s="1"/>
  <c r="F71" i="8" a="1"/>
  <c r="F71" i="8" s="1"/>
  <c r="F72" i="8" a="1"/>
  <c r="F72" i="8"/>
  <c r="F73" i="8" a="1"/>
  <c r="F73" i="8"/>
  <c r="F74" i="8" a="1"/>
  <c r="F74" i="8" s="1"/>
  <c r="F75" i="8" a="1"/>
  <c r="F75" i="8" s="1"/>
  <c r="F76" i="8" a="1"/>
  <c r="F76" i="8" s="1"/>
  <c r="F77" i="8" a="1"/>
  <c r="F77" i="8" s="1"/>
  <c r="F78" i="8" a="1"/>
  <c r="F78" i="8" s="1"/>
  <c r="F79" i="8" a="1"/>
  <c r="F79" i="8" s="1"/>
  <c r="F80" i="8" a="1"/>
  <c r="F80" i="8"/>
  <c r="F81" i="8" a="1"/>
  <c r="F81" i="8"/>
  <c r="F82" i="8" a="1"/>
  <c r="F82" i="8" s="1"/>
  <c r="F83" i="8" a="1"/>
  <c r="F83" i="8" s="1"/>
  <c r="F84" i="8" a="1"/>
  <c r="F84" i="8" s="1"/>
  <c r="F85" i="8" a="1"/>
  <c r="F85" i="8" s="1"/>
  <c r="F86" i="8" a="1"/>
  <c r="F86" i="8" s="1"/>
  <c r="F87" i="8" a="1"/>
  <c r="F87" i="8" s="1"/>
  <c r="F88" i="8" a="1"/>
  <c r="F88" i="8"/>
  <c r="F89" i="8" a="1"/>
  <c r="F89" i="8"/>
  <c r="F90" i="8" a="1"/>
  <c r="F90" i="8" s="1"/>
  <c r="F91" i="8" a="1"/>
  <c r="F91" i="8" s="1"/>
  <c r="F92" i="8" a="1"/>
  <c r="F92" i="8" s="1"/>
  <c r="F93" i="8" a="1"/>
  <c r="F93" i="8" s="1"/>
  <c r="F94" i="8" a="1"/>
  <c r="F94" i="8" s="1"/>
  <c r="F95" i="8" a="1"/>
  <c r="F95" i="8" s="1"/>
  <c r="F96" i="8" a="1"/>
  <c r="F96" i="8"/>
  <c r="F97" i="8" a="1"/>
  <c r="F97" i="8"/>
  <c r="F98" i="8" a="1"/>
  <c r="F98" i="8" s="1"/>
  <c r="F99" i="8" a="1"/>
  <c r="F99" i="8" s="1"/>
  <c r="F100" i="8" a="1"/>
  <c r="F100" i="8" s="1"/>
  <c r="F101" i="8" a="1"/>
  <c r="F101" i="8" s="1"/>
  <c r="F102" i="8" a="1"/>
  <c r="F102" i="8" s="1"/>
  <c r="F103" i="8" a="1"/>
  <c r="F103" i="8" s="1"/>
  <c r="F104" i="8" a="1"/>
  <c r="F104" i="8"/>
  <c r="F105" i="8" a="1"/>
  <c r="F105" i="8"/>
  <c r="F106" i="8" a="1"/>
  <c r="F106" i="8" s="1"/>
  <c r="F107" i="8" a="1"/>
  <c r="F107" i="8" s="1"/>
  <c r="F108" i="8" a="1"/>
  <c r="F108" i="8" s="1"/>
  <c r="F109" i="8" a="1"/>
  <c r="F109" i="8" s="1"/>
  <c r="F110" i="8" a="1"/>
  <c r="F110" i="8" s="1"/>
  <c r="F111" i="8" a="1"/>
  <c r="F111" i="8" s="1"/>
  <c r="F2" i="8" a="1"/>
  <c r="F2" i="8" s="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G2" i="7" a="1"/>
  <c r="G2" i="7" s="1"/>
  <c r="F693" i="1"/>
  <c r="L2" i="8" a="1"/>
  <c r="L2" i="8" s="1"/>
  <c r="F2" i="10" a="1"/>
  <c r="F2" i="10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D39F87-ED79-431D-9C43-61491BAB1BD5}" keepAlive="1" name="Query - cities_state_de" description="Connection to the 'cities_state_de' query in the workbook." type="5" refreshedVersion="8" background="1" saveData="1">
    <dbPr connection="Provider=Microsoft.Mashup.OleDb.1;Data Source=$Workbook$;Location=cities_state_de;Extended Properties=&quot;&quot;" command="SELECT * FROM [cities_state_de]"/>
  </connection>
  <connection id="2" xr16:uid="{47312D89-7661-4E56-A367-35826789FF19}" keepAlive="1" name="Query - cities_state_pl" description="Connection to the 'cities_state_pl' query in the workbook." type="5" refreshedVersion="8" background="1" saveData="1">
    <dbPr connection="Provider=Microsoft.Mashup.OleDb.1;Data Source=$Workbook$;Location=cities_state_pl;Extended Properties=&quot;&quot;" command="SELECT * FROM [cities_state_pl]"/>
  </connection>
  <connection id="3" xr16:uid="{BE8433E6-B0FF-4DA4-9A2D-5BC450D35E21}" keepAlive="1" name="Query - Federal States (Bundesländer)" description="Connection to the 'Federal States (Bundesländer)' query in the workbook." type="5" refreshedVersion="0" background="1">
    <dbPr connection="Provider=Microsoft.Mashup.OleDb.1;Data Source=$Workbook$;Location=&quot;Federal States (Bundesländer)&quot;;Extended Properties=&quot;&quot;" command="SELECT * FROM [Federal States (Bundesländer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<sst xmlns="http://schemas.openxmlformats.org/spreadsheetml/2006/main" count="5383" uniqueCount="963">
  <si>
    <t>city_id</t>
  </si>
  <si>
    <t>City</t>
  </si>
  <si>
    <t>country_id</t>
  </si>
  <si>
    <t>Latitude</t>
  </si>
  <si>
    <t>Longitude</t>
  </si>
  <si>
    <t>Ditzingen</t>
  </si>
  <si>
    <t>Backnang</t>
  </si>
  <si>
    <t>Rheinbach</t>
  </si>
  <si>
    <t>Fürth</t>
  </si>
  <si>
    <t>Geldern</t>
  </si>
  <si>
    <t>Hoyerswerda</t>
  </si>
  <si>
    <t>Heidelberg</t>
  </si>
  <si>
    <t>Steinfurt</t>
  </si>
  <si>
    <t>Hamburg</t>
  </si>
  <si>
    <t>Lindau</t>
  </si>
  <si>
    <t>Wolfsburg</t>
  </si>
  <si>
    <t>Solingen</t>
  </si>
  <si>
    <t>Kaufbeuren</t>
  </si>
  <si>
    <t>Kreuztal</t>
  </si>
  <si>
    <t>Northeim</t>
  </si>
  <si>
    <t>Starnberg</t>
  </si>
  <si>
    <t>Roth</t>
  </si>
  <si>
    <t>Darmstadt</t>
  </si>
  <si>
    <t>Maintal</t>
  </si>
  <si>
    <t>Düren</t>
  </si>
  <si>
    <t>Marl</t>
  </si>
  <si>
    <t>Eschweiler</t>
  </si>
  <si>
    <t>Salzkotten</t>
  </si>
  <si>
    <t>Bremerhaven</t>
  </si>
  <si>
    <t>Verl</t>
  </si>
  <si>
    <t>Heide</t>
  </si>
  <si>
    <t>Lüneburg</t>
  </si>
  <si>
    <t>Osnabrück</t>
  </si>
  <si>
    <t>Zeitz</t>
  </si>
  <si>
    <t>Bad Kreuznach</t>
  </si>
  <si>
    <t>Ettlingen</t>
  </si>
  <si>
    <t>Garbsen</t>
  </si>
  <si>
    <t>Dessau-Roßlau</t>
  </si>
  <si>
    <t>Ludwigsfelde</t>
  </si>
  <si>
    <t>Jülich</t>
  </si>
  <si>
    <t>Stadthagen</t>
  </si>
  <si>
    <t>Augsburg</t>
  </si>
  <si>
    <t>Kaarst</t>
  </si>
  <si>
    <t>Bad Oeynhausen</t>
  </si>
  <si>
    <t>Schwerte</t>
  </si>
  <si>
    <t>Schwerin</t>
  </si>
  <si>
    <t>Meißen</t>
  </si>
  <si>
    <t>Schönebeck</t>
  </si>
  <si>
    <t>Biberach</t>
  </si>
  <si>
    <t>Coesfeld</t>
  </si>
  <si>
    <t>Idstein</t>
  </si>
  <si>
    <t>Mühldorf</t>
  </si>
  <si>
    <t>Hilden</t>
  </si>
  <si>
    <t>Landshut</t>
  </si>
  <si>
    <t>Lohne</t>
  </si>
  <si>
    <t>Weißenburg</t>
  </si>
  <si>
    <t>Eschwege</t>
  </si>
  <si>
    <t>Wiehl</t>
  </si>
  <si>
    <t>Mannheim</t>
  </si>
  <si>
    <t>Waldshut-Tiengen</t>
  </si>
  <si>
    <t>Cologne</t>
  </si>
  <si>
    <t>Merseburg</t>
  </si>
  <si>
    <t>Delitzsch</t>
  </si>
  <si>
    <t>Eisenach</t>
  </si>
  <si>
    <t>Tübingen</t>
  </si>
  <si>
    <t>Fulda</t>
  </si>
  <si>
    <t>Minden</t>
  </si>
  <si>
    <t>Erlangen</t>
  </si>
  <si>
    <t>Rheinberg</t>
  </si>
  <si>
    <t>Greven</t>
  </si>
  <si>
    <t>Nordhorn</t>
  </si>
  <si>
    <t>Bensheim</t>
  </si>
  <si>
    <t>Groß-Gerau</t>
  </si>
  <si>
    <t>Germering</t>
  </si>
  <si>
    <t>Pulheim</t>
  </si>
  <si>
    <t>Baesweiler</t>
  </si>
  <si>
    <t>Bretten</t>
  </si>
  <si>
    <t>Elmshorn</t>
  </si>
  <si>
    <t>Olching</t>
  </si>
  <si>
    <t>Gotha</t>
  </si>
  <si>
    <t>Neunkirchen</t>
  </si>
  <si>
    <t>Friedberg</t>
  </si>
  <si>
    <t>Bergkamen</t>
  </si>
  <si>
    <t>Hohen Neuendorf</t>
  </si>
  <si>
    <t>Bamberg</t>
  </si>
  <si>
    <t>Sigmaringen</t>
  </si>
  <si>
    <t>Borken</t>
  </si>
  <si>
    <t>Bautzen</t>
  </si>
  <si>
    <t>Moers</t>
  </si>
  <si>
    <t>Bergisch Gladbach</t>
  </si>
  <si>
    <t>Oberursel</t>
  </si>
  <si>
    <t>Bitterfeld</t>
  </si>
  <si>
    <t>Siegburg</t>
  </si>
  <si>
    <t>Wesseling</t>
  </si>
  <si>
    <t>Bietigheim-Bissingen</t>
  </si>
  <si>
    <t>Geilenkirchen</t>
  </si>
  <si>
    <t>Fürstenfeldbruck</t>
  </si>
  <si>
    <t>Schwedt (Oder)</t>
  </si>
  <si>
    <t>Lehrte</t>
  </si>
  <si>
    <t>Parchim</t>
  </si>
  <si>
    <t>Lingen</t>
  </si>
  <si>
    <t>Memmingen</t>
  </si>
  <si>
    <t>Bottrop</t>
  </si>
  <si>
    <t>Salzgitter</t>
  </si>
  <si>
    <t>Brilon</t>
  </si>
  <si>
    <t>Tuttlingen</t>
  </si>
  <si>
    <t>Völklingen</t>
  </si>
  <si>
    <t>Dietzenbach</t>
  </si>
  <si>
    <t>Bochum</t>
  </si>
  <si>
    <t>Neustadt</t>
  </si>
  <si>
    <t>Lage</t>
  </si>
  <si>
    <t>Waltrop</t>
  </si>
  <si>
    <t>Rastatt</t>
  </si>
  <si>
    <t>Willich</t>
  </si>
  <si>
    <t>Albstadt</t>
  </si>
  <si>
    <t>Cuxhaven</t>
  </si>
  <si>
    <t>Langenhagen</t>
  </si>
  <si>
    <t>Deggendorf</t>
  </si>
  <si>
    <t>Rostock</t>
  </si>
  <si>
    <t>Salzwedel</t>
  </si>
  <si>
    <t>Saalfeld</t>
  </si>
  <si>
    <t>Steinheim am Main</t>
  </si>
  <si>
    <t>Oranienburg</t>
  </si>
  <si>
    <t>Oer-Erkenschwick</t>
  </si>
  <si>
    <t>Sinsheim</t>
  </si>
  <si>
    <t>Saarbrücken</t>
  </si>
  <si>
    <t>Rheine</t>
  </si>
  <si>
    <t>Uelzen</t>
  </si>
  <si>
    <t>Wetter (Ruhr)</t>
  </si>
  <si>
    <t>Dülmen</t>
  </si>
  <si>
    <t>Mainz</t>
  </si>
  <si>
    <t>Erfurt</t>
  </si>
  <si>
    <t>Mechernich</t>
  </si>
  <si>
    <t>Harsewinkel</t>
  </si>
  <si>
    <t>Königswinter</t>
  </si>
  <si>
    <t>Warendorf</t>
  </si>
  <si>
    <t>Magdeburg</t>
  </si>
  <si>
    <t>Alzey</t>
  </si>
  <si>
    <t>Fellbach</t>
  </si>
  <si>
    <t>Buxtehude</t>
  </si>
  <si>
    <t>Sankt Wendel</t>
  </si>
  <si>
    <t>Witten</t>
  </si>
  <si>
    <t>Sankt Ingbert</t>
  </si>
  <si>
    <t>Werl</t>
  </si>
  <si>
    <t>Lichtenfels</t>
  </si>
  <si>
    <t>Waiblingen</t>
  </si>
  <si>
    <t>Hennigsdorf</t>
  </si>
  <si>
    <t>Norderstedt</t>
  </si>
  <si>
    <t>Haldensleben</t>
  </si>
  <si>
    <t>Kehl</t>
  </si>
  <si>
    <t>Frechen</t>
  </si>
  <si>
    <t>Friedrichsdorf</t>
  </si>
  <si>
    <t>Nürtingen</t>
  </si>
  <si>
    <t>Neuwied</t>
  </si>
  <si>
    <t>Mönchengladbach</t>
  </si>
  <si>
    <t>Osterholz-Scharmbeck</t>
  </si>
  <si>
    <t>Neuruppin</t>
  </si>
  <si>
    <t>Ratingen</t>
  </si>
  <si>
    <t>Lübbecke</t>
  </si>
  <si>
    <t>Pirna</t>
  </si>
  <si>
    <t>Stuttgart</t>
  </si>
  <si>
    <t>Bonn</t>
  </si>
  <si>
    <t>Bad Hersfeld</t>
  </si>
  <si>
    <t>Neuss</t>
  </si>
  <si>
    <t>Niederkassel</t>
  </si>
  <si>
    <t>Leichlingen</t>
  </si>
  <si>
    <t>Aachen</t>
  </si>
  <si>
    <t>Neu Isenburg</t>
  </si>
  <si>
    <t>Lüdenscheid</t>
  </si>
  <si>
    <t>Sondershausen</t>
  </si>
  <si>
    <t>Celle</t>
  </si>
  <si>
    <t>Koblenz</t>
  </si>
  <si>
    <t>Haan</t>
  </si>
  <si>
    <t>Plauen</t>
  </si>
  <si>
    <t>Melle</t>
  </si>
  <si>
    <t>Mühlhausen</t>
  </si>
  <si>
    <t>Springe</t>
  </si>
  <si>
    <t>Wiesbaden</t>
  </si>
  <si>
    <t>Dorsten</t>
  </si>
  <si>
    <t>Gronau</t>
  </si>
  <si>
    <t>Alsdorf</t>
  </si>
  <si>
    <t>Vechta</t>
  </si>
  <si>
    <t>Gütersloh</t>
  </si>
  <si>
    <t>Bad Salzungen</t>
  </si>
  <si>
    <t>Schweinfurt</t>
  </si>
  <si>
    <t>Kevelaer</t>
  </si>
  <si>
    <t>Neustadt am Rübenberge</t>
  </si>
  <si>
    <t>Selm</t>
  </si>
  <si>
    <t>Senftenberg</t>
  </si>
  <si>
    <t>Teltow</t>
  </si>
  <si>
    <t>Aschersleben</t>
  </si>
  <si>
    <t>Siegen</t>
  </si>
  <si>
    <t>Rinteln</t>
  </si>
  <si>
    <t>Leinfelden-Echterdingen</t>
  </si>
  <si>
    <t>Torgau</t>
  </si>
  <si>
    <t>Burg</t>
  </si>
  <si>
    <t>Freiberg</t>
  </si>
  <si>
    <t>Herrenberg</t>
  </si>
  <si>
    <t>Naumburg</t>
  </si>
  <si>
    <t>Norden</t>
  </si>
  <si>
    <t>Grevenbroich</t>
  </si>
  <si>
    <t>Gera</t>
  </si>
  <si>
    <t>Kornwestheim</t>
  </si>
  <si>
    <t>Prenzlau</t>
  </si>
  <si>
    <t>Sömmerda</t>
  </si>
  <si>
    <t>Wolfenbüttel</t>
  </si>
  <si>
    <t>Horb am Neckar</t>
  </si>
  <si>
    <t>Schmallenberg</t>
  </si>
  <si>
    <t>Krefeld</t>
  </si>
  <si>
    <t>Plettenberg</t>
  </si>
  <si>
    <t>Pirmasens</t>
  </si>
  <si>
    <t>Euskirchen</t>
  </si>
  <si>
    <t>Papenburg</t>
  </si>
  <si>
    <t>Delmenhorst</t>
  </si>
  <si>
    <t>Dortmund</t>
  </si>
  <si>
    <t>Geislingen an der Steige</t>
  </si>
  <si>
    <t>Barsinghausen</t>
  </si>
  <si>
    <t>Hofheim</t>
  </si>
  <si>
    <t>Wedel</t>
  </si>
  <si>
    <t>Riesa</t>
  </si>
  <si>
    <t>Pforzheim</t>
  </si>
  <si>
    <t>Hameln</t>
  </si>
  <si>
    <t>Schwäbisch Hall</t>
  </si>
  <si>
    <t>Marburg</t>
  </si>
  <si>
    <t>Lübeck</t>
  </si>
  <si>
    <t>Porta Westfalica</t>
  </si>
  <si>
    <t>Gevelsberg</t>
  </si>
  <si>
    <t>Iserlohn</t>
  </si>
  <si>
    <t>Hamm</t>
  </si>
  <si>
    <t>Overath</t>
  </si>
  <si>
    <t>Bocholt</t>
  </si>
  <si>
    <t>Dormagen</t>
  </si>
  <si>
    <t>Bingen am Rhein</t>
  </si>
  <si>
    <t>Rosenheim</t>
  </si>
  <si>
    <t>Potsdam</t>
  </si>
  <si>
    <t>Westerstede</t>
  </si>
  <si>
    <t>Ravensburg</t>
  </si>
  <si>
    <t>Itzehoe</t>
  </si>
  <si>
    <t>Bad Salzuflen</t>
  </si>
  <si>
    <t>Weinheim</t>
  </si>
  <si>
    <t>Filderstadt</t>
  </si>
  <si>
    <t>Bayreuth</t>
  </si>
  <si>
    <t>Halberstadt</t>
  </si>
  <si>
    <t>Baden-Baden</t>
  </si>
  <si>
    <t>Traunstein</t>
  </si>
  <si>
    <t>Speyer</t>
  </si>
  <si>
    <t>Geesthacht</t>
  </si>
  <si>
    <t>Meerbusch</t>
  </si>
  <si>
    <t>Zweibrücken</t>
  </si>
  <si>
    <t>Görlitz</t>
  </si>
  <si>
    <t>Kiel</t>
  </si>
  <si>
    <t>Königsbrunn</t>
  </si>
  <si>
    <t>Dreieich</t>
  </si>
  <si>
    <t>Aurich</t>
  </si>
  <si>
    <t>Bad Nauheim</t>
  </si>
  <si>
    <t>Schorndorf</t>
  </si>
  <si>
    <t>Regensburg</t>
  </si>
  <si>
    <t>Husum</t>
  </si>
  <si>
    <t>Meiningen</t>
  </si>
  <si>
    <t>Sindelfingen</t>
  </si>
  <si>
    <t>Göttingen</t>
  </si>
  <si>
    <t>Oberhausen</t>
  </si>
  <si>
    <t>Ibbenbüren</t>
  </si>
  <si>
    <t>Bad Oldesloe</t>
  </si>
  <si>
    <t>Straubing</t>
  </si>
  <si>
    <t>Karlsruhe</t>
  </si>
  <si>
    <t>Rietberg</t>
  </si>
  <si>
    <t>Goslar</t>
  </si>
  <si>
    <t>Mosbach</t>
  </si>
  <si>
    <t>Pfaffenhofen</t>
  </si>
  <si>
    <t>Rendsburg</t>
  </si>
  <si>
    <t>Heinsberg</t>
  </si>
  <si>
    <t>Kassel</t>
  </si>
  <si>
    <t>Dillingen</t>
  </si>
  <si>
    <t>Weißenfels</t>
  </si>
  <si>
    <t>Viersen</t>
  </si>
  <si>
    <t>Eberswalde</t>
  </si>
  <si>
    <t>Stendal</t>
  </si>
  <si>
    <t>Schwandorf</t>
  </si>
  <si>
    <t>Griesheim</t>
  </si>
  <si>
    <t>Ingolstadt</t>
  </si>
  <si>
    <t>Ulm</t>
  </si>
  <si>
    <t>Taunusstein</t>
  </si>
  <si>
    <t>Ingelheim</t>
  </si>
  <si>
    <t>Dachau</t>
  </si>
  <si>
    <t>Brühl</t>
  </si>
  <si>
    <t>Kleve</t>
  </si>
  <si>
    <t>Saarlouis</t>
  </si>
  <si>
    <t>Viernheim</t>
  </si>
  <si>
    <t>Wegberg</t>
  </si>
  <si>
    <t>Ahlen</t>
  </si>
  <si>
    <t>Burgdorf</t>
  </si>
  <si>
    <t>Falkensee</t>
  </si>
  <si>
    <t>Leverkusen</t>
  </si>
  <si>
    <t>Forchheim</t>
  </si>
  <si>
    <t>Gladbeck</t>
  </si>
  <si>
    <t>Jena</t>
  </si>
  <si>
    <t>Fürstenwalde</t>
  </si>
  <si>
    <t>Rösrath</t>
  </si>
  <si>
    <t>Radolfzell am Bodensee</t>
  </si>
  <si>
    <t>Mörfelden-Walldorf</t>
  </si>
  <si>
    <t>Ahrensburg</t>
  </si>
  <si>
    <t>Hattingen</t>
  </si>
  <si>
    <t>Osterode</t>
  </si>
  <si>
    <t>Donauwörth</t>
  </si>
  <si>
    <t>Crailsheim</t>
  </si>
  <si>
    <t>Forst</t>
  </si>
  <si>
    <t>Sankt Augustin</t>
  </si>
  <si>
    <t>Stolberg</t>
  </si>
  <si>
    <t>Meppen</t>
  </si>
  <si>
    <t>Hemer</t>
  </si>
  <si>
    <t>Wesel</t>
  </si>
  <si>
    <t>Altenburg</t>
  </si>
  <si>
    <t>Pinneberg</t>
  </si>
  <si>
    <t>Bad Tölz</t>
  </si>
  <si>
    <t>Lippstadt</t>
  </si>
  <si>
    <t>Böblingen</t>
  </si>
  <si>
    <t>Aschaffenburg</t>
  </si>
  <si>
    <t>Konstanz</t>
  </si>
  <si>
    <t>Zirndorf</t>
  </si>
  <si>
    <t>Idar-Oberstein</t>
  </si>
  <si>
    <t>Dingolfing</t>
  </si>
  <si>
    <t>Würselen</t>
  </si>
  <si>
    <t>Calw</t>
  </si>
  <si>
    <t>Tönisvorst</t>
  </si>
  <si>
    <t>Kempen</t>
  </si>
  <si>
    <t>Kulmbach</t>
  </si>
  <si>
    <t>Worms</t>
  </si>
  <si>
    <t>Kitzingen</t>
  </si>
  <si>
    <t>Heppenheim</t>
  </si>
  <si>
    <t>Neckarsulm</t>
  </si>
  <si>
    <t>Nordenham</t>
  </si>
  <si>
    <t>Münster</t>
  </si>
  <si>
    <t>Rathenow</t>
  </si>
  <si>
    <t>Butzbach</t>
  </si>
  <si>
    <t>Emsdetten</t>
  </si>
  <si>
    <t>Remscheid</t>
  </si>
  <si>
    <t>Duisburg</t>
  </si>
  <si>
    <t>Aalen</t>
  </si>
  <si>
    <t>Aichach</t>
  </si>
  <si>
    <t>Apolda</t>
  </si>
  <si>
    <t>Sprockhövel</t>
  </si>
  <si>
    <t>Bad Honnef am Rhein</t>
  </si>
  <si>
    <t>Bünde</t>
  </si>
  <si>
    <t>Flensburg</t>
  </si>
  <si>
    <t>Velbert</t>
  </si>
  <si>
    <t>Langenfeld</t>
  </si>
  <si>
    <t>Goch</t>
  </si>
  <si>
    <t>Soest</t>
  </si>
  <si>
    <t>Gießen</t>
  </si>
  <si>
    <t>Rheda-Wiedenbrück</t>
  </si>
  <si>
    <t>Hannover</t>
  </si>
  <si>
    <t>Achim</t>
  </si>
  <si>
    <t>Winsen</t>
  </si>
  <si>
    <t>Marktoberdorf</t>
  </si>
  <si>
    <t>Wittlich</t>
  </si>
  <si>
    <t>Essen</t>
  </si>
  <si>
    <t>Radebeul</t>
  </si>
  <si>
    <t>Weimar</t>
  </si>
  <si>
    <t>Reinbek</t>
  </si>
  <si>
    <t>Wismar</t>
  </si>
  <si>
    <t>Schwelm</t>
  </si>
  <si>
    <t>Ansbach</t>
  </si>
  <si>
    <t>Homburg</t>
  </si>
  <si>
    <t>Freudenstadt</t>
  </si>
  <si>
    <t>Frankenthal</t>
  </si>
  <si>
    <t>Detmold</t>
  </si>
  <si>
    <t>Neumarkt</t>
  </si>
  <si>
    <t>Sundern</t>
  </si>
  <si>
    <t>Herten</t>
  </si>
  <si>
    <t>Wuppertal</t>
  </si>
  <si>
    <t>Bornheim</t>
  </si>
  <si>
    <t>Wangen im Allgäu</t>
  </si>
  <si>
    <t>Zittau</t>
  </si>
  <si>
    <t>Heiligenhaus</t>
  </si>
  <si>
    <t>Bielefeld</t>
  </si>
  <si>
    <t>Seelze</t>
  </si>
  <si>
    <t>Emden</t>
  </si>
  <si>
    <t>Nordhausen</t>
  </si>
  <si>
    <t>Herford</t>
  </si>
  <si>
    <t>Dinslaken</t>
  </si>
  <si>
    <t>Greiz</t>
  </si>
  <si>
    <t>Korbach</t>
  </si>
  <si>
    <t>Kempten</t>
  </si>
  <si>
    <t>Erding</t>
  </si>
  <si>
    <t>Baunatal</t>
  </si>
  <si>
    <t>Balingen</t>
  </si>
  <si>
    <t>Langen</t>
  </si>
  <si>
    <t>Ludwigshafen</t>
  </si>
  <si>
    <t>Olpe</t>
  </si>
  <si>
    <t>Ilmenau</t>
  </si>
  <si>
    <t>Schleswig</t>
  </si>
  <si>
    <t>Schloß Holte-Stukenbrock</t>
  </si>
  <si>
    <t>Würzburg</t>
  </si>
  <si>
    <t>Unterschleißheim</t>
  </si>
  <si>
    <t>Leonberg</t>
  </si>
  <si>
    <t>Frankfurt (Oder)</t>
  </si>
  <si>
    <t>Suhl</t>
  </si>
  <si>
    <t>Andernach</t>
  </si>
  <si>
    <t>Bruchsal</t>
  </si>
  <si>
    <t>Wilhelmshaven</t>
  </si>
  <si>
    <t>Warstein</t>
  </si>
  <si>
    <t>Gummersbach</t>
  </si>
  <si>
    <t>Gelsenkirchen</t>
  </si>
  <si>
    <t>Mülheim</t>
  </si>
  <si>
    <t>Gifhorn</t>
  </si>
  <si>
    <t>Ludwigsburg</t>
  </si>
  <si>
    <t>Bühl</t>
  </si>
  <si>
    <t>Günzburg</t>
  </si>
  <si>
    <t>Castrop-Rauxel</t>
  </si>
  <si>
    <t>Herne</t>
  </si>
  <si>
    <t>Rheinfelden (Baden)</t>
  </si>
  <si>
    <t>Löhne</t>
  </si>
  <si>
    <t>Trier</t>
  </si>
  <si>
    <t>Schwabach</t>
  </si>
  <si>
    <t>Bad Homburg</t>
  </si>
  <si>
    <t>Espelkamp</t>
  </si>
  <si>
    <t>Villingen-Schwenningen</t>
  </si>
  <si>
    <t>Bergheim</t>
  </si>
  <si>
    <t>Wernigerode</t>
  </si>
  <si>
    <t>Oelde</t>
  </si>
  <si>
    <t>Limburg</t>
  </si>
  <si>
    <t>Wittmund</t>
  </si>
  <si>
    <t>Landsberg</t>
  </si>
  <si>
    <t>Heidenheim</t>
  </si>
  <si>
    <t>Kamen</t>
  </si>
  <si>
    <t>Staßfurt</t>
  </si>
  <si>
    <t>Passau</t>
  </si>
  <si>
    <t>Lauf</t>
  </si>
  <si>
    <t>Neubrandenburg</t>
  </si>
  <si>
    <t>Arnsberg</t>
  </si>
  <si>
    <t>Amberg</t>
  </si>
  <si>
    <t>Hückelhoven</t>
  </si>
  <si>
    <t>Achern</t>
  </si>
  <si>
    <t>Freiburg im Breisgau</t>
  </si>
  <si>
    <t>Chemnitz</t>
  </si>
  <si>
    <t>Bad Reichenhall</t>
  </si>
  <si>
    <t>Kirchheim unter Teck</t>
  </si>
  <si>
    <t>Rottweil</t>
  </si>
  <si>
    <t>Korschenbroich</t>
  </si>
  <si>
    <t>Paderborn</t>
  </si>
  <si>
    <t>Bernburg</t>
  </si>
  <si>
    <t>Stralsund</t>
  </si>
  <si>
    <t>Lohmar</t>
  </si>
  <si>
    <t>Lörrach</t>
  </si>
  <si>
    <t>Grimma</t>
  </si>
  <si>
    <t>Kamp-Lintfort</t>
  </si>
  <si>
    <t>Pfungstadt</t>
  </si>
  <si>
    <t>Neumünster</t>
  </si>
  <si>
    <t>Nettetal</t>
  </si>
  <si>
    <t>Holzminden</t>
  </si>
  <si>
    <t>Meschede</t>
  </si>
  <si>
    <t>Weil am Rhein</t>
  </si>
  <si>
    <t>Güstrow</t>
  </si>
  <si>
    <t>Erkelenz</t>
  </si>
  <si>
    <t>Geretsried</t>
  </si>
  <si>
    <t>Schwäbisch Gmünd</t>
  </si>
  <si>
    <t>Vaihingen an der Enz</t>
  </si>
  <si>
    <t>Gaggenau</t>
  </si>
  <si>
    <t>Kelkheim (Taunus)</t>
  </si>
  <si>
    <t>Merzig</t>
  </si>
  <si>
    <t>Troisdorf</t>
  </si>
  <si>
    <t>Emmendingen</t>
  </si>
  <si>
    <t>Herzogenrath</t>
  </si>
  <si>
    <t>Einbeck</t>
  </si>
  <si>
    <t>Neuburg</t>
  </si>
  <si>
    <t>Lünen</t>
  </si>
  <si>
    <t>Stade</t>
  </si>
  <si>
    <t>Bad Kissingen</t>
  </si>
  <si>
    <t>Leipzig</t>
  </si>
  <si>
    <t>Hanau</t>
  </si>
  <si>
    <t>Höxter</t>
  </si>
  <si>
    <t>Cloppenburg</t>
  </si>
  <si>
    <t>Winnenden</t>
  </si>
  <si>
    <t>Unna</t>
  </si>
  <si>
    <t>Friedrichshafen</t>
  </si>
  <si>
    <t>Bad Dürkheim</t>
  </si>
  <si>
    <t>Mühlacker</t>
  </si>
  <si>
    <t>Offenburg</t>
  </si>
  <si>
    <t>Freital</t>
  </si>
  <si>
    <t>Recklinghausen</t>
  </si>
  <si>
    <t>Petershagen</t>
  </si>
  <si>
    <t>Erkrath</t>
  </si>
  <si>
    <t>Hildesheim</t>
  </si>
  <si>
    <t>Dresden</t>
  </si>
  <si>
    <t>Weiterstadt</t>
  </si>
  <si>
    <t>Brandenburg</t>
  </si>
  <si>
    <t>Reutlingen</t>
  </si>
  <si>
    <t>Erftstadt</t>
  </si>
  <si>
    <t>Luckenwalde</t>
  </si>
  <si>
    <t>Hürth</t>
  </si>
  <si>
    <t>Greifswald</t>
  </si>
  <si>
    <t>Hamminkeln</t>
  </si>
  <si>
    <t>Freising</t>
  </si>
  <si>
    <t>Leer</t>
  </si>
  <si>
    <t>Ehingen an der Donau</t>
  </si>
  <si>
    <t>Hof</t>
  </si>
  <si>
    <t>Munich</t>
  </si>
  <si>
    <t>Coburg</t>
  </si>
  <si>
    <t>Oldenburg</t>
  </si>
  <si>
    <t>Königs Wusterhausen</t>
  </si>
  <si>
    <t>Wermelskirchen</t>
  </si>
  <si>
    <t>Strausberg</t>
  </si>
  <si>
    <t>Georgsmarienhütte</t>
  </si>
  <si>
    <t>Ostfildern</t>
  </si>
  <si>
    <t>Heilbronn</t>
  </si>
  <si>
    <t>Annaberg-Buchholz</t>
  </si>
  <si>
    <t>Lampertheim</t>
  </si>
  <si>
    <t>Bad Neuenahr-Ahrweiler</t>
  </si>
  <si>
    <t>Wunstorf</t>
  </si>
  <si>
    <t>Mettmann</t>
  </si>
  <si>
    <t>Peine</t>
  </si>
  <si>
    <t>Rodgau</t>
  </si>
  <si>
    <t>Beckum</t>
  </si>
  <si>
    <t>Cottbus</t>
  </si>
  <si>
    <t>Wiesloch</t>
  </si>
  <si>
    <t>Bramsche</t>
  </si>
  <si>
    <t>Wittenberg</t>
  </si>
  <si>
    <t>Germersheim</t>
  </si>
  <si>
    <t>Obertshausen</t>
  </si>
  <si>
    <t>Nuremberg</t>
  </si>
  <si>
    <t>Weingarten</t>
  </si>
  <si>
    <t>Braunschweig</t>
  </si>
  <si>
    <t>Bad Vilbel</t>
  </si>
  <si>
    <t>Düsseldorf</t>
  </si>
  <si>
    <t>Kaiserslautern</t>
  </si>
  <si>
    <t>Lemgo</t>
  </si>
  <si>
    <t>Göppingen</t>
  </si>
  <si>
    <t>Leimen</t>
  </si>
  <si>
    <t>Arnstadt</t>
  </si>
  <si>
    <t>Wetzlar</t>
  </si>
  <si>
    <t>Kerpen</t>
  </si>
  <si>
    <t>Rudolstadt</t>
  </si>
  <si>
    <t>Halle</t>
  </si>
  <si>
    <t>Hagen</t>
  </si>
  <si>
    <t>Ahaus</t>
  </si>
  <si>
    <t>Berlin</t>
  </si>
  <si>
    <t>Neu-Ulm</t>
  </si>
  <si>
    <t>Bremen</t>
  </si>
  <si>
    <t>Sangerhausen</t>
  </si>
  <si>
    <t>Weilheim</t>
  </si>
  <si>
    <t>Frankfurt</t>
  </si>
  <si>
    <t>Ennepetal</t>
  </si>
  <si>
    <t>Derne</t>
  </si>
  <si>
    <t>Esslingen</t>
  </si>
  <si>
    <t>Delbrück</t>
  </si>
  <si>
    <t>Datteln</t>
  </si>
  <si>
    <t>Lennestadt</t>
  </si>
  <si>
    <t>Laatzen</t>
  </si>
  <si>
    <t>Landau</t>
  </si>
  <si>
    <t>Sonthofen</t>
  </si>
  <si>
    <t>Zwickau</t>
  </si>
  <si>
    <t>Sonneberg</t>
  </si>
  <si>
    <t>Helmstedt</t>
  </si>
  <si>
    <t>Lublin</t>
  </si>
  <si>
    <t>Świecie</t>
  </si>
  <si>
    <t>Rybnik</t>
  </si>
  <si>
    <t>Czeladź</t>
  </si>
  <si>
    <t>Olsztyn</t>
  </si>
  <si>
    <t>Olecko</t>
  </si>
  <si>
    <t>Inowrocław</t>
  </si>
  <si>
    <t>Ciechanów</t>
  </si>
  <si>
    <t>Nidzica</t>
  </si>
  <si>
    <t>Kraków</t>
  </si>
  <si>
    <t>Gubin</t>
  </si>
  <si>
    <t>Ostrów Mazowiecka</t>
  </si>
  <si>
    <t>Radom</t>
  </si>
  <si>
    <t>Gdańsk</t>
  </si>
  <si>
    <t>Tarnowskie Góry</t>
  </si>
  <si>
    <t>Łaziska Górne</t>
  </si>
  <si>
    <t>Wągrowiec</t>
  </si>
  <si>
    <t>Lwówek Śląski</t>
  </si>
  <si>
    <t>Złotoryja</t>
  </si>
  <si>
    <t>Biskupiec</t>
  </si>
  <si>
    <t>Biłgoraj</t>
  </si>
  <si>
    <t>Gniew</t>
  </si>
  <si>
    <t>Bolesławiec</t>
  </si>
  <si>
    <t>Świdnica</t>
  </si>
  <si>
    <t>Piastów</t>
  </si>
  <si>
    <t>Łódź</t>
  </si>
  <si>
    <t>Rzeszów</t>
  </si>
  <si>
    <t>Lubaczów</t>
  </si>
  <si>
    <t>Świdnik</t>
  </si>
  <si>
    <t>Krapkowice</t>
  </si>
  <si>
    <t>Brzeg</t>
  </si>
  <si>
    <t>Zakopane</t>
  </si>
  <si>
    <t>Brwinów</t>
  </si>
  <si>
    <t>Bielsko-Biała</t>
  </si>
  <si>
    <t>Wałcz</t>
  </si>
  <si>
    <t>Kęty</t>
  </si>
  <si>
    <t>Częstochowa</t>
  </si>
  <si>
    <t>Bełchatów</t>
  </si>
  <si>
    <t>Chełmża</t>
  </si>
  <si>
    <t>Poznań</t>
  </si>
  <si>
    <t>Elbląg</t>
  </si>
  <si>
    <t>Ciechocinek</t>
  </si>
  <si>
    <t>Kłodzko</t>
  </si>
  <si>
    <t>Prabuty</t>
  </si>
  <si>
    <t>Chorzów</t>
  </si>
  <si>
    <t>Grudziądz</t>
  </si>
  <si>
    <t>Łęczyca</t>
  </si>
  <si>
    <t>Człuchów</t>
  </si>
  <si>
    <t>Dęblin</t>
  </si>
  <si>
    <t>Świnoujście</t>
  </si>
  <si>
    <t>Gorzów Wielkopolski</t>
  </si>
  <si>
    <t>Nakło nad Notecią</t>
  </si>
  <si>
    <t>Gryfino</t>
  </si>
  <si>
    <t>Sandomierz</t>
  </si>
  <si>
    <t>Kamień Pomorski</t>
  </si>
  <si>
    <t>Tarnobrzeg</t>
  </si>
  <si>
    <t>Węgorzewo</t>
  </si>
  <si>
    <t>Sopot</t>
  </si>
  <si>
    <t>Trzebnica</t>
  </si>
  <si>
    <t>Nysa</t>
  </si>
  <si>
    <t>Luboń</t>
  </si>
  <si>
    <t>Żychlin</t>
  </si>
  <si>
    <t>Chojnów</t>
  </si>
  <si>
    <t>Milanówek</t>
  </si>
  <si>
    <t>Szczytno</t>
  </si>
  <si>
    <t>Siedlce</t>
  </si>
  <si>
    <t>Białystok</t>
  </si>
  <si>
    <t>Pułtusk</t>
  </si>
  <si>
    <t>Dąbrowa Górnicza</t>
  </si>
  <si>
    <t>Warka</t>
  </si>
  <si>
    <t>Nowe Miasto Lubawskie</t>
  </si>
  <si>
    <t>Piotrków Trybunalski</t>
  </si>
  <si>
    <t>Opole</t>
  </si>
  <si>
    <t>Międzyrzec Podlaski</t>
  </si>
  <si>
    <t>Zbąszyń</t>
  </si>
  <si>
    <t>Braniewo</t>
  </si>
  <si>
    <t>Gliwice</t>
  </si>
  <si>
    <t>Cieszyn</t>
  </si>
  <si>
    <t>Wschowa</t>
  </si>
  <si>
    <t>Chełmno</t>
  </si>
  <si>
    <t>Głuchołazy</t>
  </si>
  <si>
    <t>Ełk</t>
  </si>
  <si>
    <t>Ziębice</t>
  </si>
  <si>
    <t>Opoczno</t>
  </si>
  <si>
    <t>Przemyśl</t>
  </si>
  <si>
    <t>Jarosław</t>
  </si>
  <si>
    <t>Rumia</t>
  </si>
  <si>
    <t>Kutno</t>
  </si>
  <si>
    <t>Darłowo</t>
  </si>
  <si>
    <t>Wrocław</t>
  </si>
  <si>
    <t>Strzegom</t>
  </si>
  <si>
    <t>Bielsk Podlaski</t>
  </si>
  <si>
    <t>Bytów</t>
  </si>
  <si>
    <t>Zgorzelec</t>
  </si>
  <si>
    <t>Gryfów Śląski</t>
  </si>
  <si>
    <t>Włocławek</t>
  </si>
  <si>
    <t>Łęczna</t>
  </si>
  <si>
    <t>Niepołomice</t>
  </si>
  <si>
    <t>Kluczbork</t>
  </si>
  <si>
    <t>Jawor</t>
  </si>
  <si>
    <t>Kościan</t>
  </si>
  <si>
    <t>Kielce</t>
  </si>
  <si>
    <t>Stary Sącz</t>
  </si>
  <si>
    <t>Nowa Sól</t>
  </si>
  <si>
    <t>Ostrołęka</t>
  </si>
  <si>
    <t>Wisła</t>
  </si>
  <si>
    <t>Bochnia</t>
  </si>
  <si>
    <t>Oświęcim</t>
  </si>
  <si>
    <t>Sosnowiec</t>
  </si>
  <si>
    <t>Mikołów</t>
  </si>
  <si>
    <t>Przeworsk</t>
  </si>
  <si>
    <t>Łomża</t>
  </si>
  <si>
    <t>Gorlice</t>
  </si>
  <si>
    <t>Kołobrzeg</t>
  </si>
  <si>
    <t>Kwidzyn</t>
  </si>
  <si>
    <t>Bydgoszcz</t>
  </si>
  <si>
    <t>Lubsko</t>
  </si>
  <si>
    <t>Ostrowiec Świętokrzyski</t>
  </si>
  <si>
    <t>Ruda Śląska</t>
  </si>
  <si>
    <t>Gostynin</t>
  </si>
  <si>
    <t>Ozimek</t>
  </si>
  <si>
    <t>Siemiatycze</t>
  </si>
  <si>
    <t>Kostrzyn nad Odrą</t>
  </si>
  <si>
    <t>Brzeszcze</t>
  </si>
  <si>
    <t>Gniezno</t>
  </si>
  <si>
    <t>Ustroń</t>
  </si>
  <si>
    <t>Kobyłka</t>
  </si>
  <si>
    <t>Konstancin-Jeziorna</t>
  </si>
  <si>
    <t>Sobótka</t>
  </si>
  <si>
    <t>Brzeg Dolny</t>
  </si>
  <si>
    <t>Gdynia</t>
  </si>
  <si>
    <t>Połaniec</t>
  </si>
  <si>
    <t>Koronowo</t>
  </si>
  <si>
    <t>Toruń</t>
  </si>
  <si>
    <t>Zielona Góra</t>
  </si>
  <si>
    <t>Puławy</t>
  </si>
  <si>
    <t>Białogard</t>
  </si>
  <si>
    <t>Mielec</t>
  </si>
  <si>
    <t>Malbork</t>
  </si>
  <si>
    <t>Wieliczka</t>
  </si>
  <si>
    <t>Krotoszyn</t>
  </si>
  <si>
    <t>Koszalin</t>
  </si>
  <si>
    <t>Lubartów</t>
  </si>
  <si>
    <t>Reszel</t>
  </si>
  <si>
    <t>Miastko</t>
  </si>
  <si>
    <t>Głuszyca</t>
  </si>
  <si>
    <t>Lębork</t>
  </si>
  <si>
    <t>Głubczyce</t>
  </si>
  <si>
    <t>Warsaw</t>
  </si>
  <si>
    <t>Nowy Targ</t>
  </si>
  <si>
    <t>Międzyrzecz</t>
  </si>
  <si>
    <t>Ustka</t>
  </si>
  <si>
    <t>Sieradz</t>
  </si>
  <si>
    <t>Rypin</t>
  </si>
  <si>
    <t>Police</t>
  </si>
  <si>
    <t>Pruszków</t>
  </si>
  <si>
    <t>Zabrze</t>
  </si>
  <si>
    <t>Chełm</t>
  </si>
  <si>
    <t>Grodzisk Mazowiecki</t>
  </si>
  <si>
    <t>Szczecin</t>
  </si>
  <si>
    <t>Bytom</t>
  </si>
  <si>
    <t>Wałbrzych</t>
  </si>
  <si>
    <t>Hajnówka</t>
  </si>
  <si>
    <t>Kalisz</t>
  </si>
  <si>
    <t>Płock</t>
  </si>
  <si>
    <t>Tarnów</t>
  </si>
  <si>
    <t>Kętrzyn</t>
  </si>
  <si>
    <t>Bielawa</t>
  </si>
  <si>
    <t>Pabianice</t>
  </si>
  <si>
    <t>Otwock</t>
  </si>
  <si>
    <t>Kórnik</t>
  </si>
  <si>
    <t>Trzemeszno</t>
  </si>
  <si>
    <t>Starogard Gdański</t>
  </si>
  <si>
    <t>Jelenia Góra</t>
  </si>
  <si>
    <t>Żary</t>
  </si>
  <si>
    <t>Chrzanów</t>
  </si>
  <si>
    <t>Krzeszowice</t>
  </si>
  <si>
    <t>Oborniki</t>
  </si>
  <si>
    <t>Brzesko</t>
  </si>
  <si>
    <t>Łańcut</t>
  </si>
  <si>
    <t>Jaworzno</t>
  </si>
  <si>
    <t>Brzozów</t>
  </si>
  <si>
    <t>Rawa Mazowiecka</t>
  </si>
  <si>
    <t>Krynica</t>
  </si>
  <si>
    <t>Tychy</t>
  </si>
  <si>
    <t>Biała Podlaska</t>
  </si>
  <si>
    <t>Katowice</t>
  </si>
  <si>
    <t>Wolsztyn</t>
  </si>
  <si>
    <t>Pleszew</t>
  </si>
  <si>
    <t>Jelcz-Laskowice</t>
  </si>
  <si>
    <t>Legnica</t>
  </si>
  <si>
    <t>Prudnik</t>
  </si>
  <si>
    <t>Łuków</t>
  </si>
  <si>
    <t>Bełżyce</t>
  </si>
  <si>
    <t>Suwałki</t>
  </si>
  <si>
    <t>Mysłowice</t>
  </si>
  <si>
    <t>Świedbodzin</t>
  </si>
  <si>
    <t>Mława</t>
  </si>
  <si>
    <t>Skierniewice</t>
  </si>
  <si>
    <t>Bieruń Stary</t>
  </si>
  <si>
    <t>Baden-Württemberg</t>
  </si>
  <si>
    <t>Saarland</t>
  </si>
  <si>
    <t>Schleswig-Holstein</t>
  </si>
  <si>
    <t>city</t>
  </si>
  <si>
    <t>admin_name</t>
  </si>
  <si>
    <t>DE</t>
  </si>
  <si>
    <t>Bavaria</t>
  </si>
  <si>
    <t>North Rhine-Westphalia</t>
  </si>
  <si>
    <t>Hesse</t>
  </si>
  <si>
    <t>Saxony</t>
  </si>
  <si>
    <t>Lower Saxony</t>
  </si>
  <si>
    <t>Saxony-Anhalt</t>
  </si>
  <si>
    <t>Mecklenburg-Western Pomerania</t>
  </si>
  <si>
    <t>Thuringia</t>
  </si>
  <si>
    <t>Rhineland-Palatinate</t>
  </si>
  <si>
    <t>Bad Segeberg</t>
  </si>
  <si>
    <t>Heilbad Heiligenstadt</t>
  </si>
  <si>
    <t>Eutin</t>
  </si>
  <si>
    <t>Cham</t>
  </si>
  <si>
    <t>Diepholz</t>
  </si>
  <si>
    <t>Kronach</t>
  </si>
  <si>
    <t>Kelheim</t>
  </si>
  <si>
    <t>Bad Neustadt</t>
  </si>
  <si>
    <t>Künzelsau</t>
  </si>
  <si>
    <t>Mindelheim</t>
  </si>
  <si>
    <t>Brake</t>
  </si>
  <si>
    <t>Bitburg</t>
  </si>
  <si>
    <t>Ratzeburg</t>
  </si>
  <si>
    <t>Jever</t>
  </si>
  <si>
    <t>Lübben</t>
  </si>
  <si>
    <t>Montabaur</t>
  </si>
  <si>
    <t>Erbach</t>
  </si>
  <si>
    <t>Lauterbach</t>
  </si>
  <si>
    <t>Haßfurt</t>
  </si>
  <si>
    <t>Eichstätt</t>
  </si>
  <si>
    <t>Tauberbischofsheim</t>
  </si>
  <si>
    <t>Pfarrkirchen</t>
  </si>
  <si>
    <t>Ebersberg</t>
  </si>
  <si>
    <t>Perleberg</t>
  </si>
  <si>
    <t>Bad Fallingbostel</t>
  </si>
  <si>
    <t>Hildburghausen</t>
  </si>
  <si>
    <t>Miesbach</t>
  </si>
  <si>
    <t>Bad Schwalbach</t>
  </si>
  <si>
    <t>Regen</t>
  </si>
  <si>
    <t>Eisenberg</t>
  </si>
  <si>
    <t>Altötting</t>
  </si>
  <si>
    <t>Bad Ems</t>
  </si>
  <si>
    <t>Lüchow</t>
  </si>
  <si>
    <t>Miltenberg</t>
  </si>
  <si>
    <t>Wunsiedel</t>
  </si>
  <si>
    <t>Herzberg</t>
  </si>
  <si>
    <t>Plön</t>
  </si>
  <si>
    <t>Schleiz</t>
  </si>
  <si>
    <t>Tirschenreuth</t>
  </si>
  <si>
    <t>Beeskow</t>
  </si>
  <si>
    <t>Daun</t>
  </si>
  <si>
    <t>Simmern</t>
  </si>
  <si>
    <t>Kirchheimbolanden</t>
  </si>
  <si>
    <t>Freyung</t>
  </si>
  <si>
    <t>Birkenfeld</t>
  </si>
  <si>
    <t>Altenkirchen</t>
  </si>
  <si>
    <t>Seelow</t>
  </si>
  <si>
    <t>Kusel</t>
  </si>
  <si>
    <t>Cochem</t>
  </si>
  <si>
    <t>Offenbach</t>
  </si>
  <si>
    <t>Weiden</t>
  </si>
  <si>
    <t>Nienburg</t>
  </si>
  <si>
    <t>Verden</t>
  </si>
  <si>
    <t>Köthen</t>
  </si>
  <si>
    <t>Rotenburg</t>
  </si>
  <si>
    <t>Karlstadt</t>
  </si>
  <si>
    <t>Homberg</t>
  </si>
  <si>
    <t>Garmisch-Partenkirchen</t>
  </si>
  <si>
    <t>State</t>
  </si>
  <si>
    <t>Mazowieckie</t>
  </si>
  <si>
    <t>Małopolskie</t>
  </si>
  <si>
    <t>Dolnośląskie</t>
  </si>
  <si>
    <t>Łódzkie</t>
  </si>
  <si>
    <t>Wielkopolskie</t>
  </si>
  <si>
    <t>Pomorskie</t>
  </si>
  <si>
    <t>Zachodniopomorskie</t>
  </si>
  <si>
    <t>Kujawsko-Pomorskie</t>
  </si>
  <si>
    <t>Lubelskie</t>
  </si>
  <si>
    <t>Podlaskie</t>
  </si>
  <si>
    <t>Śląskie</t>
  </si>
  <si>
    <t>Lubuskie</t>
  </si>
  <si>
    <t>Podkarpackie</t>
  </si>
  <si>
    <t>Świętokrzyskie</t>
  </si>
  <si>
    <t>Warmińsko-Mazurskie</t>
  </si>
  <si>
    <t>Opolskie</t>
  </si>
  <si>
    <t>Nowy Sącz</t>
  </si>
  <si>
    <t>Ostrów Wielkopolski</t>
  </si>
  <si>
    <t>Lubin</t>
  </si>
  <si>
    <t>Stargard Szczeciński</t>
  </si>
  <si>
    <t>Siemianowice Śląskie</t>
  </si>
  <si>
    <t>Głogów</t>
  </si>
  <si>
    <t>Leszno</t>
  </si>
  <si>
    <t>Zamość</t>
  </si>
  <si>
    <t>Tomaszów Mazowiecki</t>
  </si>
  <si>
    <t>Tczew</t>
  </si>
  <si>
    <t>Będzin</t>
  </si>
  <si>
    <t>Zgierz</t>
  </si>
  <si>
    <t>Legionowo</t>
  </si>
  <si>
    <t>Piekary Śląskie</t>
  </si>
  <si>
    <t>Wejherowo</t>
  </si>
  <si>
    <t>Świętochłowice</t>
  </si>
  <si>
    <t>Starachowice</t>
  </si>
  <si>
    <t>Dębica</t>
  </si>
  <si>
    <t>Ząbki</t>
  </si>
  <si>
    <t>Marki</t>
  </si>
  <si>
    <t>Mińsk Mazowiecki</t>
  </si>
  <si>
    <t>Żyrardów</t>
  </si>
  <si>
    <t>Chojnice</t>
  </si>
  <si>
    <t>Knurów</t>
  </si>
  <si>
    <t>Wołomin</t>
  </si>
  <si>
    <t>Oleśnica</t>
  </si>
  <si>
    <t>Czechowice-Dziedzice</t>
  </si>
  <si>
    <t>Sochaczew</t>
  </si>
  <si>
    <t>Podgórze</t>
  </si>
  <si>
    <t>Oława</t>
  </si>
  <si>
    <t>Iława</t>
  </si>
  <si>
    <t>Kraśnik</t>
  </si>
  <si>
    <t>Dzierżoniów</t>
  </si>
  <si>
    <t>Pruszcz Gdański</t>
  </si>
  <si>
    <t>Rury</t>
  </si>
  <si>
    <t>Brodnica</t>
  </si>
  <si>
    <t>Giżycko</t>
  </si>
  <si>
    <t>Łowicz</t>
  </si>
  <si>
    <t>Halemba</t>
  </si>
  <si>
    <t>Turek</t>
  </si>
  <si>
    <t>Skawina</t>
  </si>
  <si>
    <t>Kościerzyna</t>
  </si>
  <si>
    <t>Bartoszyce</t>
  </si>
  <si>
    <t>Płońsk</t>
  </si>
  <si>
    <t>Grajewo</t>
  </si>
  <si>
    <t>Zambrów</t>
  </si>
  <si>
    <t>Mrągowo</t>
  </si>
  <si>
    <t>Sulejówek</t>
  </si>
  <si>
    <t>Działdowo</t>
  </si>
  <si>
    <t>Koło</t>
  </si>
  <si>
    <t>Lubań</t>
  </si>
  <si>
    <t>Złotów</t>
  </si>
  <si>
    <t>Ozorków</t>
  </si>
  <si>
    <t>Tomaszów Lubelski</t>
  </si>
  <si>
    <t>Giszowiec</t>
  </si>
  <si>
    <t>Łomianki</t>
  </si>
  <si>
    <t>Chodzież</t>
  </si>
  <si>
    <t>Jasien</t>
  </si>
  <si>
    <t>Bogucice</t>
  </si>
  <si>
    <t>Radzionków Nowy</t>
  </si>
  <si>
    <t>Osowa</t>
  </si>
  <si>
    <t>Lidzbark Warmiński</t>
  </si>
  <si>
    <t>Biały Kamień</t>
  </si>
  <si>
    <t>Lipno</t>
  </si>
  <si>
    <t>Zawodzie</t>
  </si>
  <si>
    <t>Słupca</t>
  </si>
  <si>
    <t>Wąbrzeźno</t>
  </si>
  <si>
    <t>Sidlice</t>
  </si>
  <si>
    <t>Chropaczów</t>
  </si>
  <si>
    <t>Koszutka</t>
  </si>
  <si>
    <t>Golub-Dobrzyń</t>
  </si>
  <si>
    <t>Aleksandrów Kujawski</t>
  </si>
  <si>
    <t>Puck</t>
  </si>
  <si>
    <t>Suchanino</t>
  </si>
  <si>
    <t>Czarnków</t>
  </si>
  <si>
    <t>Załęże</t>
  </si>
  <si>
    <t>Dąb</t>
  </si>
  <si>
    <t>Chruszczów</t>
  </si>
  <si>
    <t>Ksawerów</t>
  </si>
  <si>
    <t>Wola Rzędzińska</t>
  </si>
  <si>
    <t>Dąbrówka Mała</t>
  </si>
  <si>
    <t>Sejny</t>
  </si>
  <si>
    <t>Raciąż</t>
  </si>
  <si>
    <t>Górowo Iławeckie</t>
  </si>
  <si>
    <t>Zgłobice</t>
  </si>
  <si>
    <t>Libertów</t>
  </si>
  <si>
    <t>Zbylitowska Góra</t>
  </si>
  <si>
    <t>Wiśniowa Góra</t>
  </si>
  <si>
    <t>Koszyce</t>
  </si>
  <si>
    <t>Aleksandrowice</t>
  </si>
  <si>
    <t>Latoszyn</t>
  </si>
  <si>
    <t>Jodłówka</t>
  </si>
  <si>
    <t>Długa Szlachecka</t>
  </si>
  <si>
    <t>Kajkowo</t>
  </si>
  <si>
    <t>Country</t>
  </si>
  <si>
    <t>PL</t>
  </si>
  <si>
    <t>Mazovian</t>
  </si>
  <si>
    <t>Lesser Poland</t>
  </si>
  <si>
    <t>Lower Silesian</t>
  </si>
  <si>
    <t>Greater Poland</t>
  </si>
  <si>
    <t>Pomeranian</t>
  </si>
  <si>
    <t>West Pomeranian</t>
  </si>
  <si>
    <t>Kuyavian-Pomeranian</t>
  </si>
  <si>
    <t>Podlachia</t>
  </si>
  <si>
    <t>Silesian</t>
  </si>
  <si>
    <t>Lubusz</t>
  </si>
  <si>
    <t>Warmian-Masurian</t>
  </si>
  <si>
    <t>Subcarpathian</t>
  </si>
  <si>
    <t>Bayern</t>
  </si>
  <si>
    <t>Hessen</t>
  </si>
  <si>
    <t>Niedersachsen</t>
  </si>
  <si>
    <t>Mecklenburg-Vorpommern</t>
  </si>
  <si>
    <t>Nordrhein-Westfalen</t>
  </si>
  <si>
    <t>Rheinland-Pfalz</t>
  </si>
  <si>
    <t>Sachsen</t>
  </si>
  <si>
    <t>Sachsen-Anhalt</t>
  </si>
  <si>
    <t>Thüringen</t>
  </si>
  <si>
    <t>Masovian</t>
  </si>
  <si>
    <t>Podlachian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</si>
</sst>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8588D5-115A-4357-9F6F-DCA543AE071D}" autoFormatId="16" applyNumberFormats="0" applyBorderFormats="0" applyFontFormats="0" applyPatternFormats="0" applyAlignmentFormats="0" applyWidthHeightFormats="0">
  <queryTableRefresh nextId="10">
    <queryTableFields count="2">
      <queryTableField id="1" name="city" tableColumnId="1"/>
      <queryTableField id="6" name="admin_nam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6A5C29-A485-49C6-B0BF-54E59A35B21C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admin_nam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715D36-3511-4EAE-AD3B-B2721F0EDA36}" name="Table6" displayName="Table6" ref="A1:F752" totalsRowShown="0" headerRowDxfId="11" dataDxfId="10">
  <autoFilter ref="A1:F752" xr:uid="{9E715D36-3511-4EAE-AD3B-B2721F0EDA36}"/>
  <tableColumns count="6">
    <tableColumn id="1" xr3:uid="{FB7A280F-C541-4C15-BD1D-0179FE9D657F}" name="city_id" dataDxfId="9"/>
    <tableColumn id="2" xr3:uid="{354D4C06-366C-4B65-9412-2EC108C394BA}" name="City" dataDxfId="8"/>
    <tableColumn id="3" xr3:uid="{13A4C0EF-C37A-4E77-9DF0-2033AC7526CC}" name="country_id" dataDxfId="7"/>
    <tableColumn id="4" xr3:uid="{0DF02FA0-EDB4-4BA5-8FD4-9B304FE20D35}" name="Latitude" dataDxfId="6"/>
    <tableColumn id="5" xr3:uid="{B3D8AE06-F2E5-4E2E-86D5-678DDBC54781}" name="Longitude" dataDxfId="5"/>
    <tableColumn id="6" xr3:uid="{E7800F7E-C58F-4BC7-8750-E729EA56D814}" name="State" dataDxfId="4">
      <calculatedColumnFormula>_xlfn.XLOOKUP(Table6[[#This Row],[City]],Table9[city],Table9[admin_name])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23AD6-34A5-48B1-9E0A-AA9FFB635E41}" name="cities_state_de" displayName="cities_state_de" ref="A1:B613" tableType="queryTable" totalsRowShown="0">
  <autoFilter ref="A1:B613" xr:uid="{91A23AD6-34A5-48B1-9E0A-AA9FFB635E41}"/>
  <sortState xmlns:xlrd2="http://schemas.microsoft.com/office/spreadsheetml/2017/richdata2" ref="A2:B613">
    <sortCondition ref="B1:B613"/>
  </sortState>
  <tableColumns count="2">
    <tableColumn id="1" xr3:uid="{8EFA6DC0-ACAE-44D5-B5F6-0315B9D7865C}" uniqueName="1" name="city" queryTableFieldId="1" dataDxfId="3"/>
    <tableColumn id="6" xr3:uid="{337674C4-E43E-4CCB-9190-5E4A0988C70E}" uniqueName="6" name="admin_name" queryTableFieldId="6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AD4AD0-9EB1-4D0D-8335-3BB3C3D63DAD}" name="cities_state_pl" displayName="cities_state_pl" ref="A1:B185" tableType="queryTable" totalsRowShown="0">
  <autoFilter ref="A1:B185" xr:uid="{82AD4AD0-9EB1-4D0D-8335-3BB3C3D63DAD}"/>
  <tableColumns count="2">
    <tableColumn id="1" xr3:uid="{42F18F66-C77B-4D14-9BCA-BBAFF1214760}" uniqueName="1" name="city" queryTableFieldId="1" dataDxfId="1"/>
    <tableColumn id="2" xr3:uid="{675F3180-FB75-4EC6-AC5F-57389A647F73}" uniqueName="2" name="admin_name" queryTableFieldId="2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18AE34-7669-4D9B-B3B3-C8B6179D575F}" name="Table9" displayName="Table9" ref="A1:C907" totalsRowShown="0">
  <autoFilter ref="A1:C907" xr:uid="{1A18AE34-7669-4D9B-B3B3-C8B6179D575F}"/>
  <tableColumns count="3">
    <tableColumn id="1" xr3:uid="{96BBBF2D-751D-4383-A72A-08E9BAC18DDB}" name="city"/>
    <tableColumn id="2" xr3:uid="{CC555CAC-2353-46F2-A72B-525110DD5D41}" name="admin_name"/>
    <tableColumn id="3" xr3:uid="{55B2D0D8-7FE9-48B5-A2CF-BF259C487D63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A570-49C3-47D2-B67F-CEE87ABE9A26}">
  <dimension ref="A1:F752"/>
  <sheetViews>
    <sheetView tabSelected="1" workbookViewId="0">
      <selection activeCell="F2" sqref="F2"/>
    </sheetView>
  </sheetViews>
  <sheetFormatPr defaultRowHeight="14.4" x14ac:dyDescent="0.55000000000000004"/>
  <cols>
    <col min="3" max="3" width="11.26171875" customWidth="1"/>
    <col min="4" max="4" width="9.26171875" customWidth="1"/>
    <col min="5" max="5" width="10.68359375" customWidth="1"/>
    <col min="6" max="6" width="2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827</v>
      </c>
    </row>
    <row r="2" spans="1:6" x14ac:dyDescent="0.55000000000000004">
      <c r="A2" s="2">
        <v>201</v>
      </c>
      <c r="B2" s="1" t="s">
        <v>5</v>
      </c>
      <c r="C2" s="2">
        <v>2</v>
      </c>
      <c r="D2" s="1">
        <v>48.8264</v>
      </c>
      <c r="E2" s="1">
        <v>9.0667000000000009</v>
      </c>
      <c r="F2" t="str">
        <f>_xlfn.XLOOKUP(Table6[[#This Row],[City]],Table9[city],Table9[admin_name])</f>
        <v>Baden-Württemberg</v>
      </c>
    </row>
    <row r="3" spans="1:6" x14ac:dyDescent="0.55000000000000004">
      <c r="A3" s="2">
        <v>202</v>
      </c>
      <c r="B3" s="1" t="s">
        <v>6</v>
      </c>
      <c r="C3" s="2">
        <v>2</v>
      </c>
      <c r="D3" s="1">
        <v>48.946399999999997</v>
      </c>
      <c r="E3" s="1">
        <v>9.4306000000000001</v>
      </c>
      <c r="F3" t="str">
        <f>_xlfn.XLOOKUP(Table6[[#This Row],[City]],Table9[city],Table9[admin_name])</f>
        <v>Baden-Württemberg</v>
      </c>
    </row>
    <row r="4" spans="1:6" x14ac:dyDescent="0.55000000000000004">
      <c r="A4" s="2">
        <v>203</v>
      </c>
      <c r="B4" s="1" t="s">
        <v>7</v>
      </c>
      <c r="C4" s="2">
        <v>2</v>
      </c>
      <c r="D4" s="1">
        <v>50.625599999999999</v>
      </c>
      <c r="E4" s="1">
        <v>6.9490999999999996</v>
      </c>
      <c r="F4" t="str">
        <f>_xlfn.XLOOKUP(Table6[[#This Row],[City]],Table9[city],Table9[admin_name])</f>
        <v>Nordrhein-Westfalen</v>
      </c>
    </row>
    <row r="5" spans="1:6" x14ac:dyDescent="0.55000000000000004">
      <c r="A5" s="2">
        <v>204</v>
      </c>
      <c r="B5" s="1" t="s">
        <v>8</v>
      </c>
      <c r="C5" s="2">
        <v>2</v>
      </c>
      <c r="D5" s="1">
        <v>49.478299999999997</v>
      </c>
      <c r="E5" s="1">
        <v>10.9903</v>
      </c>
      <c r="F5" t="str">
        <f>_xlfn.XLOOKUP(Table6[[#This Row],[City]],Table9[city],Table9[admin_name])</f>
        <v>Bayern</v>
      </c>
    </row>
    <row r="6" spans="1:6" x14ac:dyDescent="0.55000000000000004">
      <c r="A6" s="2">
        <v>205</v>
      </c>
      <c r="B6" s="1" t="s">
        <v>9</v>
      </c>
      <c r="C6" s="2">
        <v>2</v>
      </c>
      <c r="D6" s="1">
        <v>51.5197</v>
      </c>
      <c r="E6" s="1">
        <v>6.3324999999999996</v>
      </c>
      <c r="F6" t="str">
        <f>_xlfn.XLOOKUP(Table6[[#This Row],[City]],Table9[city],Table9[admin_name])</f>
        <v>Nordrhein-Westfalen</v>
      </c>
    </row>
    <row r="7" spans="1:6" x14ac:dyDescent="0.55000000000000004">
      <c r="A7" s="2">
        <v>206</v>
      </c>
      <c r="B7" s="1" t="s">
        <v>10</v>
      </c>
      <c r="C7" s="2">
        <v>2</v>
      </c>
      <c r="D7" s="1">
        <v>51.433100000000003</v>
      </c>
      <c r="E7" s="1">
        <v>14.25</v>
      </c>
      <c r="F7" t="str">
        <f>_xlfn.XLOOKUP(Table6[[#This Row],[City]],Table9[city],Table9[admin_name])</f>
        <v>Sachsen</v>
      </c>
    </row>
    <row r="8" spans="1:6" x14ac:dyDescent="0.55000000000000004">
      <c r="A8" s="2">
        <v>207</v>
      </c>
      <c r="B8" s="1" t="s">
        <v>11</v>
      </c>
      <c r="C8" s="2">
        <v>2</v>
      </c>
      <c r="D8" s="1">
        <v>49.412199999999999</v>
      </c>
      <c r="E8" s="1">
        <v>8.7100000000000009</v>
      </c>
      <c r="F8" t="str">
        <f>_xlfn.XLOOKUP(Table6[[#This Row],[City]],Table9[city],Table9[admin_name])</f>
        <v>Baden-Württemberg</v>
      </c>
    </row>
    <row r="9" spans="1:6" x14ac:dyDescent="0.55000000000000004">
      <c r="A9" s="2">
        <v>208</v>
      </c>
      <c r="B9" s="1" t="s">
        <v>12</v>
      </c>
      <c r="C9" s="2">
        <v>2</v>
      </c>
      <c r="D9" s="1">
        <v>52.150399999999998</v>
      </c>
      <c r="E9" s="1">
        <v>7.3365999999999998</v>
      </c>
      <c r="F9" t="str">
        <f>_xlfn.XLOOKUP(Table6[[#This Row],[City]],Table9[city],Table9[admin_name])</f>
        <v>Nordrhein-Westfalen</v>
      </c>
    </row>
    <row r="10" spans="1:6" x14ac:dyDescent="0.55000000000000004">
      <c r="A10" s="2">
        <v>209</v>
      </c>
      <c r="B10" s="1" t="s">
        <v>13</v>
      </c>
      <c r="C10" s="2">
        <v>2</v>
      </c>
      <c r="D10" s="1">
        <v>53.55</v>
      </c>
      <c r="E10" s="1">
        <v>10</v>
      </c>
      <c r="F10" t="str">
        <f>_xlfn.XLOOKUP(Table6[[#This Row],[City]],Table9[city],Table9[admin_name])</f>
        <v>Hamburg</v>
      </c>
    </row>
    <row r="11" spans="1:6" x14ac:dyDescent="0.55000000000000004">
      <c r="A11" s="2">
        <v>210</v>
      </c>
      <c r="B11" s="1" t="s">
        <v>14</v>
      </c>
      <c r="C11" s="2">
        <v>2</v>
      </c>
      <c r="D11" s="1">
        <v>47.5458</v>
      </c>
      <c r="E11" s="1">
        <v>9.6838999999999995</v>
      </c>
      <c r="F11" t="str">
        <f>_xlfn.XLOOKUP(Table6[[#This Row],[City]],Table9[city],Table9[admin_name])</f>
        <v>Bayern</v>
      </c>
    </row>
    <row r="12" spans="1:6" x14ac:dyDescent="0.55000000000000004">
      <c r="A12" s="2">
        <v>211</v>
      </c>
      <c r="B12" s="1" t="s">
        <v>15</v>
      </c>
      <c r="C12" s="2">
        <v>2</v>
      </c>
      <c r="D12" s="1">
        <v>52.423099999999998</v>
      </c>
      <c r="E12" s="1">
        <v>10.7872</v>
      </c>
      <c r="F12" t="str">
        <f>_xlfn.XLOOKUP(Table6[[#This Row],[City]],Table9[city],Table9[admin_name])</f>
        <v>Niedersachsen</v>
      </c>
    </row>
    <row r="13" spans="1:6" x14ac:dyDescent="0.55000000000000004">
      <c r="A13" s="2">
        <v>212</v>
      </c>
      <c r="B13" s="1" t="s">
        <v>16</v>
      </c>
      <c r="C13" s="2">
        <v>2</v>
      </c>
      <c r="D13" s="1">
        <v>51.166699999999999</v>
      </c>
      <c r="E13" s="1">
        <v>7.0833000000000004</v>
      </c>
      <c r="F13" t="str">
        <f>_xlfn.XLOOKUP(Table6[[#This Row],[City]],Table9[city],Table9[admin_name])</f>
        <v>Nordrhein-Westfalen</v>
      </c>
    </row>
    <row r="14" spans="1:6" x14ac:dyDescent="0.55000000000000004">
      <c r="A14" s="2">
        <v>213</v>
      </c>
      <c r="B14" s="1" t="s">
        <v>17</v>
      </c>
      <c r="C14" s="2">
        <v>2</v>
      </c>
      <c r="D14" s="1">
        <v>47.88</v>
      </c>
      <c r="E14" s="1">
        <v>10.6225</v>
      </c>
      <c r="F14" t="str">
        <f>_xlfn.XLOOKUP(Table6[[#This Row],[City]],Table9[city],Table9[admin_name])</f>
        <v>Bayern</v>
      </c>
    </row>
    <row r="15" spans="1:6" x14ac:dyDescent="0.55000000000000004">
      <c r="A15" s="2">
        <v>214</v>
      </c>
      <c r="B15" s="1" t="s">
        <v>18</v>
      </c>
      <c r="C15" s="2">
        <v>2</v>
      </c>
      <c r="D15" s="1">
        <v>50.962000000000003</v>
      </c>
      <c r="E15" s="1">
        <v>8.0063999999999993</v>
      </c>
      <c r="F15" t="str">
        <f>_xlfn.XLOOKUP(Table6[[#This Row],[City]],Table9[city],Table9[admin_name])</f>
        <v>Nordrhein-Westfalen</v>
      </c>
    </row>
    <row r="16" spans="1:6" x14ac:dyDescent="0.55000000000000004">
      <c r="A16" s="2">
        <v>215</v>
      </c>
      <c r="B16" s="1" t="s">
        <v>19</v>
      </c>
      <c r="C16" s="2">
        <v>2</v>
      </c>
      <c r="D16" s="1">
        <v>51.706699999999998</v>
      </c>
      <c r="E16" s="1">
        <v>10.001099999999999</v>
      </c>
      <c r="F16" t="str">
        <f>_xlfn.XLOOKUP(Table6[[#This Row],[City]],Table9[city],Table9[admin_name])</f>
        <v>Niedersachsen</v>
      </c>
    </row>
    <row r="17" spans="1:6" x14ac:dyDescent="0.55000000000000004">
      <c r="A17" s="2">
        <v>216</v>
      </c>
      <c r="B17" s="1" t="s">
        <v>20</v>
      </c>
      <c r="C17" s="2">
        <v>2</v>
      </c>
      <c r="D17" s="1">
        <v>47.997199999999999</v>
      </c>
      <c r="E17" s="1">
        <v>11.3406</v>
      </c>
      <c r="F17" t="str">
        <f>_xlfn.XLOOKUP(Table6[[#This Row],[City]],Table9[city],Table9[admin_name])</f>
        <v>Bayern</v>
      </c>
    </row>
    <row r="18" spans="1:6" x14ac:dyDescent="0.55000000000000004">
      <c r="A18" s="2">
        <v>217</v>
      </c>
      <c r="B18" s="1" t="s">
        <v>21</v>
      </c>
      <c r="C18" s="2">
        <v>2</v>
      </c>
      <c r="D18" s="1">
        <v>49.246099999999998</v>
      </c>
      <c r="E18" s="1">
        <v>11.091100000000001</v>
      </c>
      <c r="F18" t="str">
        <f>_xlfn.XLOOKUP(Table6[[#This Row],[City]],Table9[city],Table9[admin_name])</f>
        <v>Bayern</v>
      </c>
    </row>
    <row r="19" spans="1:6" x14ac:dyDescent="0.55000000000000004">
      <c r="A19" s="2">
        <v>218</v>
      </c>
      <c r="B19" s="1" t="s">
        <v>22</v>
      </c>
      <c r="C19" s="2">
        <v>2</v>
      </c>
      <c r="D19" s="1">
        <v>49.866700000000002</v>
      </c>
      <c r="E19" s="1">
        <v>8.65</v>
      </c>
      <c r="F19" t="str">
        <f>_xlfn.XLOOKUP(Table6[[#This Row],[City]],Table9[city],Table9[admin_name])</f>
        <v>Hessen</v>
      </c>
    </row>
    <row r="20" spans="1:6" x14ac:dyDescent="0.55000000000000004">
      <c r="A20" s="2">
        <v>219</v>
      </c>
      <c r="B20" s="1" t="s">
        <v>23</v>
      </c>
      <c r="C20" s="2">
        <v>2</v>
      </c>
      <c r="D20" s="1">
        <v>50.15</v>
      </c>
      <c r="E20" s="1">
        <v>8.8332999999999995</v>
      </c>
      <c r="F20" t="str">
        <f>_xlfn.XLOOKUP(Table6[[#This Row],[City]],Table9[city],Table9[admin_name])</f>
        <v>Hessen</v>
      </c>
    </row>
    <row r="21" spans="1:6" x14ac:dyDescent="0.55000000000000004">
      <c r="A21" s="2">
        <v>220</v>
      </c>
      <c r="B21" s="1" t="s">
        <v>24</v>
      </c>
      <c r="C21" s="2">
        <v>2</v>
      </c>
      <c r="D21" s="1">
        <v>50.8</v>
      </c>
      <c r="E21" s="1">
        <v>6.4832999999999998</v>
      </c>
      <c r="F21" t="str">
        <f>_xlfn.XLOOKUP(Table6[[#This Row],[City]],Table9[city],Table9[admin_name])</f>
        <v>Nordrhein-Westfalen</v>
      </c>
    </row>
    <row r="22" spans="1:6" x14ac:dyDescent="0.55000000000000004">
      <c r="A22" s="2">
        <v>221</v>
      </c>
      <c r="B22" s="1" t="s">
        <v>25</v>
      </c>
      <c r="C22" s="2">
        <v>2</v>
      </c>
      <c r="D22" s="1">
        <v>51.666699999999999</v>
      </c>
      <c r="E22" s="1">
        <v>7.1166999999999998</v>
      </c>
      <c r="F22" t="str">
        <f>_xlfn.XLOOKUP(Table6[[#This Row],[City]],Table9[city],Table9[admin_name])</f>
        <v>Nordrhein-Westfalen</v>
      </c>
    </row>
    <row r="23" spans="1:6" x14ac:dyDescent="0.55000000000000004">
      <c r="A23" s="2">
        <v>222</v>
      </c>
      <c r="B23" s="1" t="s">
        <v>26</v>
      </c>
      <c r="C23" s="2">
        <v>2</v>
      </c>
      <c r="D23" s="1">
        <v>50.816699999999997</v>
      </c>
      <c r="E23" s="1">
        <v>6.2832999999999997</v>
      </c>
      <c r="F23" t="str">
        <f>_xlfn.XLOOKUP(Table6[[#This Row],[City]],Table9[city],Table9[admin_name])</f>
        <v>Nordrhein-Westfalen</v>
      </c>
    </row>
    <row r="24" spans="1:6" x14ac:dyDescent="0.55000000000000004">
      <c r="A24" s="2">
        <v>223</v>
      </c>
      <c r="B24" s="1" t="s">
        <v>27</v>
      </c>
      <c r="C24" s="2">
        <v>2</v>
      </c>
      <c r="D24" s="1">
        <v>51.6708</v>
      </c>
      <c r="E24" s="1">
        <v>8.6046999999999993</v>
      </c>
      <c r="F24" t="str">
        <f>_xlfn.XLOOKUP(Table6[[#This Row],[City]],Table9[city],Table9[admin_name])</f>
        <v>Nordrhein-Westfalen</v>
      </c>
    </row>
    <row r="25" spans="1:6" x14ac:dyDescent="0.55000000000000004">
      <c r="A25" s="2">
        <v>224</v>
      </c>
      <c r="B25" s="1" t="s">
        <v>28</v>
      </c>
      <c r="C25" s="2">
        <v>2</v>
      </c>
      <c r="D25" s="1">
        <v>53.55</v>
      </c>
      <c r="E25" s="1">
        <v>8.5832999999999995</v>
      </c>
      <c r="F25" t="str">
        <f>_xlfn.XLOOKUP(Table6[[#This Row],[City]],Table9[city],Table9[admin_name])</f>
        <v>Bremen</v>
      </c>
    </row>
    <row r="26" spans="1:6" x14ac:dyDescent="0.55000000000000004">
      <c r="A26" s="2">
        <v>225</v>
      </c>
      <c r="B26" s="1" t="s">
        <v>29</v>
      </c>
      <c r="C26" s="2">
        <v>2</v>
      </c>
      <c r="D26" s="1">
        <v>51.883099999999999</v>
      </c>
      <c r="E26" s="1">
        <v>8.5167000000000002</v>
      </c>
      <c r="F26" t="str">
        <f>_xlfn.XLOOKUP(Table6[[#This Row],[City]],Table9[city],Table9[admin_name])</f>
        <v>Nordrhein-Westfalen</v>
      </c>
    </row>
    <row r="27" spans="1:6" x14ac:dyDescent="0.55000000000000004">
      <c r="A27" s="2">
        <v>226</v>
      </c>
      <c r="B27" s="1" t="s">
        <v>30</v>
      </c>
      <c r="C27" s="2">
        <v>2</v>
      </c>
      <c r="D27" s="1">
        <v>54.196100000000001</v>
      </c>
      <c r="E27" s="1">
        <v>9.0932999999999993</v>
      </c>
      <c r="F27" t="str">
        <f>_xlfn.XLOOKUP(Table6[[#This Row],[City]],Table9[city],Table9[admin_name])</f>
        <v>Schleswig-Holstein</v>
      </c>
    </row>
    <row r="28" spans="1:6" x14ac:dyDescent="0.55000000000000004">
      <c r="A28" s="2">
        <v>227</v>
      </c>
      <c r="B28" s="1" t="s">
        <v>31</v>
      </c>
      <c r="C28" s="2">
        <v>2</v>
      </c>
      <c r="D28" s="1">
        <v>53.252499999999998</v>
      </c>
      <c r="E28" s="1">
        <v>10.414400000000001</v>
      </c>
      <c r="F28" t="str">
        <f>_xlfn.XLOOKUP(Table6[[#This Row],[City]],Table9[city],Table9[admin_name])</f>
        <v>Niedersachsen</v>
      </c>
    </row>
    <row r="29" spans="1:6" x14ac:dyDescent="0.55000000000000004">
      <c r="A29" s="2">
        <v>228</v>
      </c>
      <c r="B29" s="1" t="s">
        <v>32</v>
      </c>
      <c r="C29" s="2">
        <v>2</v>
      </c>
      <c r="D29" s="1">
        <v>52.2789</v>
      </c>
      <c r="E29" s="1">
        <v>8.0431000000000008</v>
      </c>
      <c r="F29" t="str">
        <f>_xlfn.XLOOKUP(Table6[[#This Row],[City]],Table9[city],Table9[admin_name])</f>
        <v>Niedersachsen</v>
      </c>
    </row>
    <row r="30" spans="1:6" x14ac:dyDescent="0.55000000000000004">
      <c r="A30" s="2">
        <v>229</v>
      </c>
      <c r="B30" s="1" t="s">
        <v>33</v>
      </c>
      <c r="C30" s="2">
        <v>2</v>
      </c>
      <c r="D30" s="1">
        <v>51.047800000000002</v>
      </c>
      <c r="E30" s="1">
        <v>12.138299999999999</v>
      </c>
      <c r="F30" t="str">
        <f>_xlfn.XLOOKUP(Table6[[#This Row],[City]],Table9[city],Table9[admin_name])</f>
        <v>Sachsen-Anhalt</v>
      </c>
    </row>
    <row r="31" spans="1:6" x14ac:dyDescent="0.55000000000000004">
      <c r="A31" s="2">
        <v>230</v>
      </c>
      <c r="B31" s="1" t="s">
        <v>34</v>
      </c>
      <c r="C31" s="2">
        <v>2</v>
      </c>
      <c r="D31" s="1">
        <v>49.846899999999998</v>
      </c>
      <c r="E31" s="1">
        <v>7.8669000000000002</v>
      </c>
      <c r="F31" t="str">
        <f>_xlfn.XLOOKUP(Table6[[#This Row],[City]],Table9[city],Table9[admin_name])</f>
        <v>Rheinland-Pfalz</v>
      </c>
    </row>
    <row r="32" spans="1:6" x14ac:dyDescent="0.55000000000000004">
      <c r="A32" s="2">
        <v>231</v>
      </c>
      <c r="B32" s="1" t="s">
        <v>35</v>
      </c>
      <c r="C32" s="2">
        <v>2</v>
      </c>
      <c r="D32" s="1">
        <v>48.933300000000003</v>
      </c>
      <c r="E32" s="1">
        <v>8.4</v>
      </c>
      <c r="F32" t="str">
        <f>_xlfn.XLOOKUP(Table6[[#This Row],[City]],Table9[city],Table9[admin_name])</f>
        <v>Baden-Württemberg</v>
      </c>
    </row>
    <row r="33" spans="1:6" x14ac:dyDescent="0.55000000000000004">
      <c r="A33" s="2">
        <v>232</v>
      </c>
      <c r="B33" s="1" t="s">
        <v>36</v>
      </c>
      <c r="C33" s="2">
        <v>2</v>
      </c>
      <c r="D33" s="1">
        <v>52.418300000000002</v>
      </c>
      <c r="E33" s="1">
        <v>9.5981000000000005</v>
      </c>
      <c r="F33" t="str">
        <f>_xlfn.XLOOKUP(Table6[[#This Row],[City]],Table9[city],Table9[admin_name])</f>
        <v>Niedersachsen</v>
      </c>
    </row>
    <row r="34" spans="1:6" x14ac:dyDescent="0.55000000000000004">
      <c r="A34" s="2">
        <v>233</v>
      </c>
      <c r="B34" s="1" t="s">
        <v>37</v>
      </c>
      <c r="C34" s="2">
        <v>2</v>
      </c>
      <c r="D34" s="1">
        <v>51.833300000000001</v>
      </c>
      <c r="E34" s="1">
        <v>12.2333</v>
      </c>
      <c r="F34" t="str">
        <f>_xlfn.XLOOKUP(Table6[[#This Row],[City]],Table9[city],Table9[admin_name])</f>
        <v>Sachsen-Anhalt</v>
      </c>
    </row>
    <row r="35" spans="1:6" x14ac:dyDescent="0.55000000000000004">
      <c r="A35" s="2">
        <v>234</v>
      </c>
      <c r="B35" s="1" t="s">
        <v>38</v>
      </c>
      <c r="C35" s="2">
        <v>2</v>
      </c>
      <c r="D35" s="1">
        <v>52.299700000000001</v>
      </c>
      <c r="E35" s="1">
        <v>13.2667</v>
      </c>
      <c r="F35" t="str">
        <f>_xlfn.XLOOKUP(Table6[[#This Row],[City]],Table9[city],Table9[admin_name])</f>
        <v>Brandenburg</v>
      </c>
    </row>
    <row r="36" spans="1:6" x14ac:dyDescent="0.55000000000000004">
      <c r="A36" s="2">
        <v>235</v>
      </c>
      <c r="B36" s="1" t="s">
        <v>39</v>
      </c>
      <c r="C36" s="2">
        <v>2</v>
      </c>
      <c r="D36" s="1">
        <v>50.922199999999997</v>
      </c>
      <c r="E36" s="1">
        <v>6.3582999999999998</v>
      </c>
      <c r="F36" t="str">
        <f>_xlfn.XLOOKUP(Table6[[#This Row],[City]],Table9[city],Table9[admin_name])</f>
        <v>Nordrhein-Westfalen</v>
      </c>
    </row>
    <row r="37" spans="1:6" x14ac:dyDescent="0.55000000000000004">
      <c r="A37" s="2">
        <v>236</v>
      </c>
      <c r="B37" s="1" t="s">
        <v>40</v>
      </c>
      <c r="C37" s="2">
        <v>2</v>
      </c>
      <c r="D37" s="1">
        <v>52.3247</v>
      </c>
      <c r="E37" s="1">
        <v>9.2068999999999992</v>
      </c>
      <c r="F37" t="str">
        <f>_xlfn.XLOOKUP(Table6[[#This Row],[City]],Table9[city],Table9[admin_name])</f>
        <v>Niedersachsen</v>
      </c>
    </row>
    <row r="38" spans="1:6" x14ac:dyDescent="0.55000000000000004">
      <c r="A38" s="2">
        <v>237</v>
      </c>
      <c r="B38" s="1" t="s">
        <v>41</v>
      </c>
      <c r="C38" s="2">
        <v>2</v>
      </c>
      <c r="D38" s="1">
        <v>48.371699999999997</v>
      </c>
      <c r="E38" s="1">
        <v>10.898300000000001</v>
      </c>
      <c r="F38" t="str">
        <f>_xlfn.XLOOKUP(Table6[[#This Row],[City]],Table9[city],Table9[admin_name])</f>
        <v>Bayern</v>
      </c>
    </row>
    <row r="39" spans="1:6" x14ac:dyDescent="0.55000000000000004">
      <c r="A39" s="2">
        <v>238</v>
      </c>
      <c r="B39" s="1" t="s">
        <v>42</v>
      </c>
      <c r="C39" s="2">
        <v>2</v>
      </c>
      <c r="D39" s="1">
        <v>51.227800000000002</v>
      </c>
      <c r="E39" s="1">
        <v>6.6273</v>
      </c>
      <c r="F39" t="str">
        <f>_xlfn.XLOOKUP(Table6[[#This Row],[City]],Table9[city],Table9[admin_name])</f>
        <v>Nordrhein-Westfalen</v>
      </c>
    </row>
    <row r="40" spans="1:6" x14ac:dyDescent="0.55000000000000004">
      <c r="A40" s="2">
        <v>239</v>
      </c>
      <c r="B40" s="1" t="s">
        <v>43</v>
      </c>
      <c r="C40" s="2">
        <v>2</v>
      </c>
      <c r="D40" s="1">
        <v>52.2</v>
      </c>
      <c r="E40" s="1">
        <v>8.8000000000000007</v>
      </c>
      <c r="F40" t="str">
        <f>_xlfn.XLOOKUP(Table6[[#This Row],[City]],Table9[city],Table9[admin_name])</f>
        <v>Nordrhein-Westfalen</v>
      </c>
    </row>
    <row r="41" spans="1:6" x14ac:dyDescent="0.55000000000000004">
      <c r="A41" s="2">
        <v>240</v>
      </c>
      <c r="B41" s="1" t="s">
        <v>44</v>
      </c>
      <c r="C41" s="2">
        <v>2</v>
      </c>
      <c r="D41" s="1">
        <v>51.445799999999998</v>
      </c>
      <c r="E41" s="1">
        <v>7.5652999999999997</v>
      </c>
      <c r="F41" t="str">
        <f>_xlfn.XLOOKUP(Table6[[#This Row],[City]],Table9[city],Table9[admin_name])</f>
        <v>Nordrhein-Westfalen</v>
      </c>
    </row>
    <row r="42" spans="1:6" x14ac:dyDescent="0.55000000000000004">
      <c r="A42" s="2">
        <v>241</v>
      </c>
      <c r="B42" s="1" t="s">
        <v>45</v>
      </c>
      <c r="C42" s="2">
        <v>2</v>
      </c>
      <c r="D42" s="1">
        <v>53.633299999999998</v>
      </c>
      <c r="E42" s="1">
        <v>11.416700000000001</v>
      </c>
      <c r="F42" t="str">
        <f>_xlfn.XLOOKUP(Table6[[#This Row],[City]],Table9[city],Table9[admin_name])</f>
        <v>Mecklenburg-Vorpommern</v>
      </c>
    </row>
    <row r="43" spans="1:6" x14ac:dyDescent="0.55000000000000004">
      <c r="A43" s="2">
        <v>242</v>
      </c>
      <c r="B43" s="1" t="s">
        <v>46</v>
      </c>
      <c r="C43" s="2">
        <v>2</v>
      </c>
      <c r="D43" s="1">
        <v>51.163600000000002</v>
      </c>
      <c r="E43" s="1">
        <v>13.477499999999999</v>
      </c>
      <c r="F43" t="str">
        <f>_xlfn.XLOOKUP(Table6[[#This Row],[City]],Table9[city],Table9[admin_name])</f>
        <v>Sachsen</v>
      </c>
    </row>
    <row r="44" spans="1:6" x14ac:dyDescent="0.55000000000000004">
      <c r="A44" s="2">
        <v>243</v>
      </c>
      <c r="B44" s="1" t="s">
        <v>47</v>
      </c>
      <c r="C44" s="2">
        <v>2</v>
      </c>
      <c r="D44" s="1">
        <v>52.0167</v>
      </c>
      <c r="E44" s="1">
        <v>11.75</v>
      </c>
      <c r="F44" t="str">
        <f>_xlfn.XLOOKUP(Table6[[#This Row],[City]],Table9[city],Table9[admin_name])</f>
        <v>Sachsen-Anhalt</v>
      </c>
    </row>
    <row r="45" spans="1:6" x14ac:dyDescent="0.55000000000000004">
      <c r="A45" s="2">
        <v>244</v>
      </c>
      <c r="B45" s="1" t="s">
        <v>48</v>
      </c>
      <c r="C45" s="2">
        <v>2</v>
      </c>
      <c r="D45" s="1">
        <v>48.098100000000002</v>
      </c>
      <c r="E45" s="1">
        <v>9.7886000000000006</v>
      </c>
      <c r="F45" t="str">
        <f>_xlfn.XLOOKUP(Table6[[#This Row],[City]],Table9[city],Table9[admin_name])</f>
        <v>Baden-Württemberg</v>
      </c>
    </row>
    <row r="46" spans="1:6" x14ac:dyDescent="0.55000000000000004">
      <c r="A46" s="2">
        <v>245</v>
      </c>
      <c r="B46" s="1" t="s">
        <v>49</v>
      </c>
      <c r="C46" s="2">
        <v>2</v>
      </c>
      <c r="D46" s="1">
        <v>51.945799999999998</v>
      </c>
      <c r="E46" s="1">
        <v>7.1675000000000004</v>
      </c>
      <c r="F46" t="str">
        <f>_xlfn.XLOOKUP(Table6[[#This Row],[City]],Table9[city],Table9[admin_name])</f>
        <v>Nordrhein-Westfalen</v>
      </c>
    </row>
    <row r="47" spans="1:6" x14ac:dyDescent="0.55000000000000004">
      <c r="A47" s="2">
        <v>246</v>
      </c>
      <c r="B47" s="1" t="s">
        <v>50</v>
      </c>
      <c r="C47" s="2">
        <v>2</v>
      </c>
      <c r="D47" s="1">
        <v>50.220599999999997</v>
      </c>
      <c r="E47" s="1">
        <v>8.2691999999999997</v>
      </c>
      <c r="F47" t="str">
        <f>_xlfn.XLOOKUP(Table6[[#This Row],[City]],Table9[city],Table9[admin_name])</f>
        <v>Hessen</v>
      </c>
    </row>
    <row r="48" spans="1:6" x14ac:dyDescent="0.55000000000000004">
      <c r="A48" s="2">
        <v>247</v>
      </c>
      <c r="B48" s="1" t="s">
        <v>51</v>
      </c>
      <c r="C48" s="2">
        <v>2</v>
      </c>
      <c r="D48" s="1">
        <v>48.245600000000003</v>
      </c>
      <c r="E48" s="1">
        <v>12.5228</v>
      </c>
      <c r="F48" t="str">
        <f>_xlfn.XLOOKUP(Table6[[#This Row],[City]],Table9[city],Table9[admin_name])</f>
        <v>Bayern</v>
      </c>
    </row>
    <row r="49" spans="1:6" x14ac:dyDescent="0.55000000000000004">
      <c r="A49" s="2">
        <v>248</v>
      </c>
      <c r="B49" s="1" t="s">
        <v>52</v>
      </c>
      <c r="C49" s="2">
        <v>2</v>
      </c>
      <c r="D49" s="1">
        <v>51.171399999999998</v>
      </c>
      <c r="E49" s="1">
        <v>6.9394</v>
      </c>
      <c r="F49" t="str">
        <f>_xlfn.XLOOKUP(Table6[[#This Row],[City]],Table9[city],Table9[admin_name])</f>
        <v>Nordrhein-Westfalen</v>
      </c>
    </row>
    <row r="50" spans="1:6" x14ac:dyDescent="0.55000000000000004">
      <c r="A50" s="2">
        <v>249</v>
      </c>
      <c r="B50" s="1" t="s">
        <v>53</v>
      </c>
      <c r="C50" s="2">
        <v>2</v>
      </c>
      <c r="D50" s="1">
        <v>48.539700000000003</v>
      </c>
      <c r="E50" s="1">
        <v>12.1508</v>
      </c>
      <c r="F50" t="str">
        <f>_xlfn.XLOOKUP(Table6[[#This Row],[City]],Table9[city],Table9[admin_name])</f>
        <v>Bayern</v>
      </c>
    </row>
    <row r="51" spans="1:6" x14ac:dyDescent="0.55000000000000004">
      <c r="A51" s="2">
        <v>250</v>
      </c>
      <c r="B51" s="1" t="s">
        <v>54</v>
      </c>
      <c r="C51" s="2">
        <v>2</v>
      </c>
      <c r="D51" s="1">
        <v>52.666699999999999</v>
      </c>
      <c r="E51" s="1">
        <v>8.2385999999999999</v>
      </c>
      <c r="F51" t="str">
        <f>_xlfn.XLOOKUP(Table6[[#This Row],[City]],Table9[city],Table9[admin_name])</f>
        <v>Niedersachsen</v>
      </c>
    </row>
    <row r="52" spans="1:6" x14ac:dyDescent="0.55000000000000004">
      <c r="A52" s="2">
        <v>251</v>
      </c>
      <c r="B52" s="1" t="s">
        <v>55</v>
      </c>
      <c r="C52" s="2">
        <v>2</v>
      </c>
      <c r="D52" s="1">
        <v>49.0306</v>
      </c>
      <c r="E52" s="1">
        <v>10.9719</v>
      </c>
      <c r="F52" t="str">
        <f>_xlfn.XLOOKUP(Table6[[#This Row],[City]],Table9[city],Table9[admin_name])</f>
        <v>Bayern</v>
      </c>
    </row>
    <row r="53" spans="1:6" x14ac:dyDescent="0.55000000000000004">
      <c r="A53" s="2">
        <v>252</v>
      </c>
      <c r="B53" s="1" t="s">
        <v>56</v>
      </c>
      <c r="C53" s="2">
        <v>2</v>
      </c>
      <c r="D53" s="1">
        <v>51.188099999999999</v>
      </c>
      <c r="E53" s="1">
        <v>10.0528</v>
      </c>
      <c r="F53" t="str">
        <f>_xlfn.XLOOKUP(Table6[[#This Row],[City]],Table9[city],Table9[admin_name])</f>
        <v>Hessen</v>
      </c>
    </row>
    <row r="54" spans="1:6" x14ac:dyDescent="0.55000000000000004">
      <c r="A54" s="2">
        <v>253</v>
      </c>
      <c r="B54" s="1" t="s">
        <v>57</v>
      </c>
      <c r="C54" s="2">
        <v>2</v>
      </c>
      <c r="D54" s="1">
        <v>50.95</v>
      </c>
      <c r="E54" s="1">
        <v>7.5332999999999997</v>
      </c>
      <c r="F54" t="str">
        <f>_xlfn.XLOOKUP(Table6[[#This Row],[City]],Table9[city],Table9[admin_name])</f>
        <v>Nordrhein-Westfalen</v>
      </c>
    </row>
    <row r="55" spans="1:6" x14ac:dyDescent="0.55000000000000004">
      <c r="A55" s="2">
        <v>254</v>
      </c>
      <c r="B55" s="1" t="s">
        <v>58</v>
      </c>
      <c r="C55" s="2">
        <v>2</v>
      </c>
      <c r="D55" s="1">
        <v>49.4878</v>
      </c>
      <c r="E55" s="1">
        <v>8.4661000000000008</v>
      </c>
      <c r="F55" t="str">
        <f>_xlfn.XLOOKUP(Table6[[#This Row],[City]],Table9[city],Table9[admin_name])</f>
        <v>Baden-Württemberg</v>
      </c>
    </row>
    <row r="56" spans="1:6" x14ac:dyDescent="0.55000000000000004">
      <c r="A56" s="2">
        <v>255</v>
      </c>
      <c r="B56" s="1" t="s">
        <v>59</v>
      </c>
      <c r="C56" s="2">
        <v>2</v>
      </c>
      <c r="D56" s="1">
        <v>47.623100000000001</v>
      </c>
      <c r="E56" s="1">
        <v>8.2143999999999995</v>
      </c>
      <c r="F56" t="str">
        <f>_xlfn.XLOOKUP(Table6[[#This Row],[City]],Table9[city],Table9[admin_name])</f>
        <v>Baden-Württemberg</v>
      </c>
    </row>
    <row r="57" spans="1:6" x14ac:dyDescent="0.55000000000000004">
      <c r="A57" s="2">
        <v>256</v>
      </c>
      <c r="B57" s="1" t="s">
        <v>60</v>
      </c>
      <c r="C57" s="2">
        <v>2</v>
      </c>
      <c r="D57" s="1">
        <v>50.9422</v>
      </c>
      <c r="E57" s="1">
        <v>6.9577999999999998</v>
      </c>
      <c r="F57" t="str">
        <f>_xlfn.XLOOKUP(Table6[[#This Row],[City]],Table9[city],Table9[admin_name])</f>
        <v>Nordrhein-Westfalen</v>
      </c>
    </row>
    <row r="58" spans="1:6" x14ac:dyDescent="0.55000000000000004">
      <c r="A58" s="2">
        <v>257</v>
      </c>
      <c r="B58" s="1" t="s">
        <v>61</v>
      </c>
      <c r="C58" s="2">
        <v>2</v>
      </c>
      <c r="D58" s="1">
        <v>51.354399999999998</v>
      </c>
      <c r="E58" s="1">
        <v>11.992800000000001</v>
      </c>
      <c r="F58" t="str">
        <f>_xlfn.XLOOKUP(Table6[[#This Row],[City]],Table9[city],Table9[admin_name])</f>
        <v>Sachsen-Anhalt</v>
      </c>
    </row>
    <row r="59" spans="1:6" x14ac:dyDescent="0.55000000000000004">
      <c r="A59" s="2">
        <v>258</v>
      </c>
      <c r="B59" s="1" t="s">
        <v>62</v>
      </c>
      <c r="C59" s="2">
        <v>2</v>
      </c>
      <c r="D59" s="1">
        <v>51.526400000000002</v>
      </c>
      <c r="E59" s="1">
        <v>12.342499999999999</v>
      </c>
      <c r="F59" t="str">
        <f>_xlfn.XLOOKUP(Table6[[#This Row],[City]],Table9[city],Table9[admin_name])</f>
        <v>Sachsen</v>
      </c>
    </row>
    <row r="60" spans="1:6" x14ac:dyDescent="0.55000000000000004">
      <c r="A60" s="2">
        <v>259</v>
      </c>
      <c r="B60" s="1" t="s">
        <v>63</v>
      </c>
      <c r="C60" s="2">
        <v>2</v>
      </c>
      <c r="D60" s="1">
        <v>50.974699999999999</v>
      </c>
      <c r="E60" s="1">
        <v>10.324400000000001</v>
      </c>
      <c r="F60" t="str">
        <f>_xlfn.XLOOKUP(Table6[[#This Row],[City]],Table9[city],Table9[admin_name])</f>
        <v>Thüringen</v>
      </c>
    </row>
    <row r="61" spans="1:6" x14ac:dyDescent="0.55000000000000004">
      <c r="A61" s="2">
        <v>260</v>
      </c>
      <c r="B61" s="1" t="s">
        <v>64</v>
      </c>
      <c r="C61" s="2">
        <v>2</v>
      </c>
      <c r="D61" s="1">
        <v>48.52</v>
      </c>
      <c r="E61" s="1">
        <v>9.0556000000000001</v>
      </c>
      <c r="F61" t="str">
        <f>_xlfn.XLOOKUP(Table6[[#This Row],[City]],Table9[city],Table9[admin_name])</f>
        <v>Baden-Württemberg</v>
      </c>
    </row>
    <row r="62" spans="1:6" x14ac:dyDescent="0.55000000000000004">
      <c r="A62" s="2">
        <v>261</v>
      </c>
      <c r="B62" s="1" t="s">
        <v>65</v>
      </c>
      <c r="C62" s="2">
        <v>2</v>
      </c>
      <c r="D62" s="1">
        <v>50.552799999999998</v>
      </c>
      <c r="E62" s="1">
        <v>9.6775000000000002</v>
      </c>
      <c r="F62" t="str">
        <f>_xlfn.XLOOKUP(Table6[[#This Row],[City]],Table9[city],Table9[admin_name])</f>
        <v>Hessen</v>
      </c>
    </row>
    <row r="63" spans="1:6" x14ac:dyDescent="0.55000000000000004">
      <c r="A63" s="2">
        <v>262</v>
      </c>
      <c r="B63" s="1" t="s">
        <v>66</v>
      </c>
      <c r="C63" s="2">
        <v>2</v>
      </c>
      <c r="D63" s="1">
        <v>52.2883</v>
      </c>
      <c r="E63" s="1">
        <v>8.9167000000000005</v>
      </c>
      <c r="F63" t="str">
        <f>_xlfn.XLOOKUP(Table6[[#This Row],[City]],Table9[city],Table9[admin_name])</f>
        <v>Nordrhein-Westfalen</v>
      </c>
    </row>
    <row r="64" spans="1:6" x14ac:dyDescent="0.55000000000000004">
      <c r="A64" s="2">
        <v>263</v>
      </c>
      <c r="B64" s="1" t="s">
        <v>67</v>
      </c>
      <c r="C64" s="2">
        <v>2</v>
      </c>
      <c r="D64" s="1">
        <v>49.596400000000003</v>
      </c>
      <c r="E64" s="1">
        <v>11.0044</v>
      </c>
      <c r="F64" t="str">
        <f>_xlfn.XLOOKUP(Table6[[#This Row],[City]],Table9[city],Table9[admin_name])</f>
        <v>Bayern</v>
      </c>
    </row>
    <row r="65" spans="1:6" x14ac:dyDescent="0.55000000000000004">
      <c r="A65" s="2">
        <v>264</v>
      </c>
      <c r="B65" s="1" t="s">
        <v>68</v>
      </c>
      <c r="C65" s="2">
        <v>2</v>
      </c>
      <c r="D65" s="1">
        <v>51.546700000000001</v>
      </c>
      <c r="E65" s="1">
        <v>6.6006</v>
      </c>
      <c r="F65" t="str">
        <f>_xlfn.XLOOKUP(Table6[[#This Row],[City]],Table9[city],Table9[admin_name])</f>
        <v>Nordrhein-Westfalen</v>
      </c>
    </row>
    <row r="66" spans="1:6" x14ac:dyDescent="0.55000000000000004">
      <c r="A66" s="2">
        <v>265</v>
      </c>
      <c r="B66" s="1" t="s">
        <v>69</v>
      </c>
      <c r="C66" s="2">
        <v>2</v>
      </c>
      <c r="D66" s="1">
        <v>52.091700000000003</v>
      </c>
      <c r="E66" s="1">
        <v>7.6082999999999998</v>
      </c>
      <c r="F66" t="str">
        <f>_xlfn.XLOOKUP(Table6[[#This Row],[City]],Table9[city],Table9[admin_name])</f>
        <v>Nordrhein-Westfalen</v>
      </c>
    </row>
    <row r="67" spans="1:6" x14ac:dyDescent="0.55000000000000004">
      <c r="A67" s="2">
        <v>266</v>
      </c>
      <c r="B67" s="1" t="s">
        <v>70</v>
      </c>
      <c r="C67" s="2">
        <v>2</v>
      </c>
      <c r="D67" s="1">
        <v>52.433300000000003</v>
      </c>
      <c r="E67" s="1">
        <v>7.0667</v>
      </c>
      <c r="F67" t="str">
        <f>_xlfn.XLOOKUP(Table6[[#This Row],[City]],Table9[city],Table9[admin_name])</f>
        <v>Niedersachsen</v>
      </c>
    </row>
    <row r="68" spans="1:6" x14ac:dyDescent="0.55000000000000004">
      <c r="A68" s="2">
        <v>267</v>
      </c>
      <c r="B68" s="1" t="s">
        <v>71</v>
      </c>
      <c r="C68" s="2">
        <v>2</v>
      </c>
      <c r="D68" s="1">
        <v>49.681100000000001</v>
      </c>
      <c r="E68" s="1">
        <v>8.6227999999999998</v>
      </c>
      <c r="F68" t="str">
        <f>_xlfn.XLOOKUP(Table6[[#This Row],[City]],Table9[city],Table9[admin_name])</f>
        <v>Hessen</v>
      </c>
    </row>
    <row r="69" spans="1:6" x14ac:dyDescent="0.55000000000000004">
      <c r="A69" s="2">
        <v>268</v>
      </c>
      <c r="B69" s="1" t="s">
        <v>72</v>
      </c>
      <c r="C69" s="2">
        <v>2</v>
      </c>
      <c r="D69" s="1">
        <v>49.921399999999998</v>
      </c>
      <c r="E69" s="1">
        <v>8.4817999999999998</v>
      </c>
      <c r="F69" t="str">
        <f>_xlfn.XLOOKUP(Table6[[#This Row],[City]],Table9[city],Table9[admin_name])</f>
        <v>Hessen</v>
      </c>
    </row>
    <row r="70" spans="1:6" x14ac:dyDescent="0.55000000000000004">
      <c r="A70" s="2">
        <v>269</v>
      </c>
      <c r="B70" s="1" t="s">
        <v>73</v>
      </c>
      <c r="C70" s="2">
        <v>2</v>
      </c>
      <c r="D70" s="1">
        <v>48.133299999999998</v>
      </c>
      <c r="E70" s="1">
        <v>11.3667</v>
      </c>
      <c r="F70" t="str">
        <f>_xlfn.XLOOKUP(Table6[[#This Row],[City]],Table9[city],Table9[admin_name])</f>
        <v>Bayern</v>
      </c>
    </row>
    <row r="71" spans="1:6" x14ac:dyDescent="0.55000000000000004">
      <c r="A71" s="2">
        <v>270</v>
      </c>
      <c r="B71" s="1" t="s">
        <v>74</v>
      </c>
      <c r="C71" s="2">
        <v>2</v>
      </c>
      <c r="D71" s="1">
        <v>51</v>
      </c>
      <c r="E71" s="1">
        <v>6.8</v>
      </c>
      <c r="F71" t="str">
        <f>_xlfn.XLOOKUP(Table6[[#This Row],[City]],Table9[city],Table9[admin_name])</f>
        <v>Nordrhein-Westfalen</v>
      </c>
    </row>
    <row r="72" spans="1:6" x14ac:dyDescent="0.55000000000000004">
      <c r="A72" s="2">
        <v>271</v>
      </c>
      <c r="B72" s="1" t="s">
        <v>75</v>
      </c>
      <c r="C72" s="2">
        <v>2</v>
      </c>
      <c r="D72" s="1">
        <v>50.9</v>
      </c>
      <c r="E72" s="1">
        <v>6.1833</v>
      </c>
      <c r="F72" t="str">
        <f>_xlfn.XLOOKUP(Table6[[#This Row],[City]],Table9[city],Table9[admin_name])</f>
        <v>Nordrhein-Westfalen</v>
      </c>
    </row>
    <row r="73" spans="1:6" x14ac:dyDescent="0.55000000000000004">
      <c r="A73" s="2">
        <v>272</v>
      </c>
      <c r="B73" s="1" t="s">
        <v>76</v>
      </c>
      <c r="C73" s="2">
        <v>2</v>
      </c>
      <c r="D73" s="1">
        <v>49.0364</v>
      </c>
      <c r="E73" s="1">
        <v>8.7060999999999993</v>
      </c>
      <c r="F73" t="str">
        <f>_xlfn.XLOOKUP(Table6[[#This Row],[City]],Table9[city],Table9[admin_name])</f>
        <v>Baden-Württemberg</v>
      </c>
    </row>
    <row r="74" spans="1:6" x14ac:dyDescent="0.55000000000000004">
      <c r="A74" s="2">
        <v>273</v>
      </c>
      <c r="B74" s="1" t="s">
        <v>77</v>
      </c>
      <c r="C74" s="2">
        <v>2</v>
      </c>
      <c r="D74" s="1">
        <v>53.7547</v>
      </c>
      <c r="E74" s="1">
        <v>9.6536000000000008</v>
      </c>
      <c r="F74" t="str">
        <f>_xlfn.XLOOKUP(Table6[[#This Row],[City]],Table9[city],Table9[admin_name])</f>
        <v>Schleswig-Holstein</v>
      </c>
    </row>
    <row r="75" spans="1:6" x14ac:dyDescent="0.55000000000000004">
      <c r="A75" s="2">
        <v>274</v>
      </c>
      <c r="B75" s="1" t="s">
        <v>78</v>
      </c>
      <c r="C75" s="2">
        <v>2</v>
      </c>
      <c r="D75" s="1">
        <v>48.2</v>
      </c>
      <c r="E75" s="1">
        <v>11.316700000000001</v>
      </c>
      <c r="F75" t="str">
        <f>_xlfn.XLOOKUP(Table6[[#This Row],[City]],Table9[city],Table9[admin_name])</f>
        <v>Bayern</v>
      </c>
    </row>
    <row r="76" spans="1:6" x14ac:dyDescent="0.55000000000000004">
      <c r="A76" s="2">
        <v>275</v>
      </c>
      <c r="B76" s="1" t="s">
        <v>79</v>
      </c>
      <c r="C76" s="2">
        <v>2</v>
      </c>
      <c r="D76" s="1">
        <v>50.948900000000002</v>
      </c>
      <c r="E76" s="1">
        <v>10.718299999999999</v>
      </c>
      <c r="F76" t="str">
        <f>_xlfn.XLOOKUP(Table6[[#This Row],[City]],Table9[city],Table9[admin_name])</f>
        <v>Thüringen</v>
      </c>
    </row>
    <row r="77" spans="1:6" x14ac:dyDescent="0.55000000000000004">
      <c r="A77" s="2">
        <v>276</v>
      </c>
      <c r="B77" s="1" t="s">
        <v>80</v>
      </c>
      <c r="C77" s="2">
        <v>2</v>
      </c>
      <c r="D77" s="1">
        <v>49.344799999999999</v>
      </c>
      <c r="E77" s="1">
        <v>7.1798999999999999</v>
      </c>
      <c r="F77" t="str">
        <f>_xlfn.XLOOKUP(Table6[[#This Row],[City]],Table9[city],Table9[admin_name])</f>
        <v>Saarland</v>
      </c>
    </row>
    <row r="78" spans="1:6" x14ac:dyDescent="0.55000000000000004">
      <c r="A78" s="2">
        <v>277</v>
      </c>
      <c r="B78" s="1" t="s">
        <v>81</v>
      </c>
      <c r="C78" s="2">
        <v>2</v>
      </c>
      <c r="D78" s="1">
        <v>48.35</v>
      </c>
      <c r="E78" s="1">
        <v>10.9833</v>
      </c>
      <c r="F78" t="str">
        <f>_xlfn.XLOOKUP(Table6[[#This Row],[City]],Table9[city],Table9[admin_name])</f>
        <v>Bayern</v>
      </c>
    </row>
    <row r="79" spans="1:6" x14ac:dyDescent="0.55000000000000004">
      <c r="A79" s="2">
        <v>278</v>
      </c>
      <c r="B79" s="1" t="s">
        <v>82</v>
      </c>
      <c r="C79" s="2">
        <v>2</v>
      </c>
      <c r="D79" s="1">
        <v>51.616700000000002</v>
      </c>
      <c r="E79" s="1">
        <v>7.6333000000000002</v>
      </c>
      <c r="F79" t="str">
        <f>_xlfn.XLOOKUP(Table6[[#This Row],[City]],Table9[city],Table9[admin_name])</f>
        <v>Nordrhein-Westfalen</v>
      </c>
    </row>
    <row r="80" spans="1:6" x14ac:dyDescent="0.55000000000000004">
      <c r="A80" s="2">
        <v>279</v>
      </c>
      <c r="B80" s="1" t="s">
        <v>83</v>
      </c>
      <c r="C80" s="2">
        <v>2</v>
      </c>
      <c r="D80" s="1">
        <v>52.666699999999999</v>
      </c>
      <c r="E80" s="1">
        <v>13.283099999999999</v>
      </c>
      <c r="F80" t="str">
        <f>_xlfn.XLOOKUP(Table6[[#This Row],[City]],Table9[city],Table9[admin_name])</f>
        <v>Brandenburg</v>
      </c>
    </row>
    <row r="81" spans="1:6" x14ac:dyDescent="0.55000000000000004">
      <c r="A81" s="2">
        <v>280</v>
      </c>
      <c r="B81" s="1" t="s">
        <v>84</v>
      </c>
      <c r="C81" s="2">
        <v>2</v>
      </c>
      <c r="D81" s="1">
        <v>49.8917</v>
      </c>
      <c r="E81" s="1">
        <v>10.8917</v>
      </c>
      <c r="F81" t="str">
        <f>_xlfn.XLOOKUP(Table6[[#This Row],[City]],Table9[city],Table9[admin_name])</f>
        <v>Bayern</v>
      </c>
    </row>
    <row r="82" spans="1:6" x14ac:dyDescent="0.55000000000000004">
      <c r="A82" s="2">
        <v>281</v>
      </c>
      <c r="B82" s="1" t="s">
        <v>85</v>
      </c>
      <c r="C82" s="2">
        <v>2</v>
      </c>
      <c r="D82" s="1">
        <v>48.0867</v>
      </c>
      <c r="E82" s="1">
        <v>9.2164000000000001</v>
      </c>
      <c r="F82" t="str">
        <f>_xlfn.XLOOKUP(Table6[[#This Row],[City]],Table9[city],Table9[admin_name])</f>
        <v>Baden-Württemberg</v>
      </c>
    </row>
    <row r="83" spans="1:6" x14ac:dyDescent="0.55000000000000004">
      <c r="A83" s="2">
        <v>282</v>
      </c>
      <c r="B83" s="1" t="s">
        <v>86</v>
      </c>
      <c r="C83" s="2">
        <v>2</v>
      </c>
      <c r="D83" s="1">
        <v>51.843899999999998</v>
      </c>
      <c r="E83" s="1">
        <v>6.8582999999999998</v>
      </c>
      <c r="F83" t="str">
        <f>_xlfn.XLOOKUP(Table6[[#This Row],[City]],Table9[city],Table9[admin_name])</f>
        <v>Nordrhein-Westfalen</v>
      </c>
    </row>
    <row r="84" spans="1:6" x14ac:dyDescent="0.55000000000000004">
      <c r="A84" s="2">
        <v>283</v>
      </c>
      <c r="B84" s="1" t="s">
        <v>87</v>
      </c>
      <c r="C84" s="2">
        <v>2</v>
      </c>
      <c r="D84" s="1">
        <v>51.181399999999996</v>
      </c>
      <c r="E84" s="1">
        <v>14.4239</v>
      </c>
      <c r="F84" t="str">
        <f>_xlfn.XLOOKUP(Table6[[#This Row],[City]],Table9[city],Table9[admin_name])</f>
        <v>Sachsen</v>
      </c>
    </row>
    <row r="85" spans="1:6" x14ac:dyDescent="0.55000000000000004">
      <c r="A85" s="2">
        <v>284</v>
      </c>
      <c r="B85" s="1" t="s">
        <v>88</v>
      </c>
      <c r="C85" s="2">
        <v>2</v>
      </c>
      <c r="D85" s="1">
        <v>51.459200000000003</v>
      </c>
      <c r="E85" s="1">
        <v>6.6196999999999999</v>
      </c>
      <c r="F85" t="str">
        <f>_xlfn.XLOOKUP(Table6[[#This Row],[City]],Table9[city],Table9[admin_name])</f>
        <v>Nordrhein-Westfalen</v>
      </c>
    </row>
    <row r="86" spans="1:6" x14ac:dyDescent="0.55000000000000004">
      <c r="A86" s="2">
        <v>285</v>
      </c>
      <c r="B86" s="1" t="s">
        <v>89</v>
      </c>
      <c r="C86" s="2">
        <v>2</v>
      </c>
      <c r="D86" s="1">
        <v>50.991700000000002</v>
      </c>
      <c r="E86" s="1">
        <v>7.1367000000000003</v>
      </c>
      <c r="F86" t="str">
        <f>_xlfn.XLOOKUP(Table6[[#This Row],[City]],Table9[city],Table9[admin_name])</f>
        <v>Nordrhein-Westfalen</v>
      </c>
    </row>
    <row r="87" spans="1:6" x14ac:dyDescent="0.55000000000000004">
      <c r="A87" s="2">
        <v>286</v>
      </c>
      <c r="B87" s="1" t="s">
        <v>90</v>
      </c>
      <c r="C87" s="2">
        <v>2</v>
      </c>
      <c r="D87" s="1">
        <v>50.202800000000003</v>
      </c>
      <c r="E87" s="1">
        <v>8.5769000000000002</v>
      </c>
      <c r="F87" t="str">
        <f>_xlfn.XLOOKUP(Table6[[#This Row],[City]],Table9[city],Table9[admin_name])</f>
        <v>Hessen</v>
      </c>
    </row>
    <row r="88" spans="1:6" x14ac:dyDescent="0.55000000000000004">
      <c r="A88" s="2">
        <v>287</v>
      </c>
      <c r="B88" s="1" t="s">
        <v>91</v>
      </c>
      <c r="C88" s="2">
        <v>2</v>
      </c>
      <c r="D88" s="1">
        <v>51.616700000000002</v>
      </c>
      <c r="E88" s="1">
        <v>12.316700000000001</v>
      </c>
      <c r="F88" t="str">
        <f>_xlfn.XLOOKUP(Table6[[#This Row],[City]],Table9[city],Table9[admin_name])</f>
        <v>Sachsen</v>
      </c>
    </row>
    <row r="89" spans="1:6" x14ac:dyDescent="0.55000000000000004">
      <c r="A89" s="2">
        <v>288</v>
      </c>
      <c r="B89" s="1" t="s">
        <v>92</v>
      </c>
      <c r="C89" s="2">
        <v>2</v>
      </c>
      <c r="D89" s="1">
        <v>50.801400000000001</v>
      </c>
      <c r="E89" s="1">
        <v>7.2043999999999997</v>
      </c>
      <c r="F89" t="str">
        <f>_xlfn.XLOOKUP(Table6[[#This Row],[City]],Table9[city],Table9[admin_name])</f>
        <v>Nordrhein-Westfalen</v>
      </c>
    </row>
    <row r="90" spans="1:6" x14ac:dyDescent="0.55000000000000004">
      <c r="A90" s="2">
        <v>289</v>
      </c>
      <c r="B90" s="1" t="s">
        <v>93</v>
      </c>
      <c r="C90" s="2">
        <v>2</v>
      </c>
      <c r="D90" s="1">
        <v>50.820700000000002</v>
      </c>
      <c r="E90" s="1">
        <v>6.9786000000000001</v>
      </c>
      <c r="F90" t="str">
        <f>_xlfn.XLOOKUP(Table6[[#This Row],[City]],Table9[city],Table9[admin_name])</f>
        <v>Nordrhein-Westfalen</v>
      </c>
    </row>
    <row r="91" spans="1:6" x14ac:dyDescent="0.55000000000000004">
      <c r="A91" s="2">
        <v>290</v>
      </c>
      <c r="B91" s="1" t="s">
        <v>94</v>
      </c>
      <c r="C91" s="2">
        <v>2</v>
      </c>
      <c r="D91" s="1">
        <v>48.966700000000003</v>
      </c>
      <c r="E91" s="1">
        <v>9.1333000000000002</v>
      </c>
      <c r="F91" t="str">
        <f>_xlfn.XLOOKUP(Table6[[#This Row],[City]],Table9[city],Table9[admin_name])</f>
        <v>Baden-Württemberg</v>
      </c>
    </row>
    <row r="92" spans="1:6" x14ac:dyDescent="0.55000000000000004">
      <c r="A92" s="2">
        <v>291</v>
      </c>
      <c r="B92" s="1" t="s">
        <v>95</v>
      </c>
      <c r="C92" s="2">
        <v>2</v>
      </c>
      <c r="D92" s="1">
        <v>50.965299999999999</v>
      </c>
      <c r="E92" s="1">
        <v>6.1193999999999997</v>
      </c>
      <c r="F92" t="str">
        <f>_xlfn.XLOOKUP(Table6[[#This Row],[City]],Table9[city],Table9[admin_name])</f>
        <v>Nordrhein-Westfalen</v>
      </c>
    </row>
    <row r="93" spans="1:6" x14ac:dyDescent="0.55000000000000004">
      <c r="A93" s="2">
        <v>292</v>
      </c>
      <c r="B93" s="1" t="s">
        <v>96</v>
      </c>
      <c r="C93" s="2">
        <v>2</v>
      </c>
      <c r="D93" s="1">
        <v>48.177799999999998</v>
      </c>
      <c r="E93" s="1">
        <v>11.255599999999999</v>
      </c>
      <c r="F93" t="str">
        <f>_xlfn.XLOOKUP(Table6[[#This Row],[City]],Table9[city],Table9[admin_name])</f>
        <v>Bayern</v>
      </c>
    </row>
    <row r="94" spans="1:6" x14ac:dyDescent="0.55000000000000004">
      <c r="A94" s="2">
        <v>293</v>
      </c>
      <c r="B94" s="1" t="s">
        <v>97</v>
      </c>
      <c r="C94" s="2">
        <v>2</v>
      </c>
      <c r="D94" s="1">
        <v>53.063099999999999</v>
      </c>
      <c r="E94" s="1">
        <v>14.283099999999999</v>
      </c>
      <c r="F94" t="str">
        <f>_xlfn.XLOOKUP(Table6[[#This Row],[City]],Table9[city],Table9[admin_name])</f>
        <v>Brandenburg</v>
      </c>
    </row>
    <row r="95" spans="1:6" x14ac:dyDescent="0.55000000000000004">
      <c r="A95" s="2">
        <v>294</v>
      </c>
      <c r="B95" s="1" t="s">
        <v>98</v>
      </c>
      <c r="C95" s="2">
        <v>2</v>
      </c>
      <c r="D95" s="1">
        <v>52.372500000000002</v>
      </c>
      <c r="E95" s="1">
        <v>9.9769000000000005</v>
      </c>
      <c r="F95" t="str">
        <f>_xlfn.XLOOKUP(Table6[[#This Row],[City]],Table9[city],Table9[admin_name])</f>
        <v>Niedersachsen</v>
      </c>
    </row>
    <row r="96" spans="1:6" x14ac:dyDescent="0.55000000000000004">
      <c r="A96" s="2">
        <v>295</v>
      </c>
      <c r="B96" s="1" t="s">
        <v>99</v>
      </c>
      <c r="C96" s="2">
        <v>2</v>
      </c>
      <c r="D96" s="1">
        <v>53.416699999999999</v>
      </c>
      <c r="E96" s="1">
        <v>11.833299999999999</v>
      </c>
      <c r="F96" t="str">
        <f>_xlfn.XLOOKUP(Table6[[#This Row],[City]],Table9[city],Table9[admin_name])</f>
        <v>Mecklenburg-Vorpommern</v>
      </c>
    </row>
    <row r="97" spans="1:6" x14ac:dyDescent="0.55000000000000004">
      <c r="A97" s="2">
        <v>296</v>
      </c>
      <c r="B97" s="1" t="s">
        <v>100</v>
      </c>
      <c r="C97" s="2">
        <v>2</v>
      </c>
      <c r="D97" s="1">
        <v>52.523299999999999</v>
      </c>
      <c r="E97" s="1">
        <v>7.3171999999999997</v>
      </c>
      <c r="F97" t="str">
        <f>_xlfn.XLOOKUP(Table6[[#This Row],[City]],Table9[city],Table9[admin_name])</f>
        <v>Niedersachsen</v>
      </c>
    </row>
    <row r="98" spans="1:6" x14ac:dyDescent="0.55000000000000004">
      <c r="A98" s="2">
        <v>297</v>
      </c>
      <c r="B98" s="1" t="s">
        <v>101</v>
      </c>
      <c r="C98" s="2">
        <v>2</v>
      </c>
      <c r="D98" s="1">
        <v>47.9878</v>
      </c>
      <c r="E98" s="1">
        <v>10.181100000000001</v>
      </c>
      <c r="F98" t="str">
        <f>_xlfn.XLOOKUP(Table6[[#This Row],[City]],Table9[city],Table9[admin_name])</f>
        <v>Bayern</v>
      </c>
    </row>
    <row r="99" spans="1:6" x14ac:dyDescent="0.55000000000000004">
      <c r="A99" s="2">
        <v>298</v>
      </c>
      <c r="B99" s="1" t="s">
        <v>102</v>
      </c>
      <c r="C99" s="2">
        <v>2</v>
      </c>
      <c r="D99" s="1">
        <v>51.523200000000003</v>
      </c>
      <c r="E99" s="1">
        <v>6.9253</v>
      </c>
      <c r="F99" t="str">
        <f>_xlfn.XLOOKUP(Table6[[#This Row],[City]],Table9[city],Table9[admin_name])</f>
        <v>Nordrhein-Westfalen</v>
      </c>
    </row>
    <row r="100" spans="1:6" x14ac:dyDescent="0.55000000000000004">
      <c r="A100" s="2">
        <v>299</v>
      </c>
      <c r="B100" s="1" t="s">
        <v>103</v>
      </c>
      <c r="C100" s="2">
        <v>2</v>
      </c>
      <c r="D100" s="1">
        <v>52.150300000000001</v>
      </c>
      <c r="E100" s="1">
        <v>10.359299999999999</v>
      </c>
      <c r="F100" t="str">
        <f>_xlfn.XLOOKUP(Table6[[#This Row],[City]],Table9[city],Table9[admin_name])</f>
        <v>Niedersachsen</v>
      </c>
    </row>
    <row r="101" spans="1:6" x14ac:dyDescent="0.55000000000000004">
      <c r="A101" s="2">
        <v>300</v>
      </c>
      <c r="B101" s="1" t="s">
        <v>104</v>
      </c>
      <c r="C101" s="2">
        <v>2</v>
      </c>
      <c r="D101" s="1">
        <v>51.395600000000002</v>
      </c>
      <c r="E101" s="1">
        <v>8.5678000000000001</v>
      </c>
      <c r="F101" t="str">
        <f>_xlfn.XLOOKUP(Table6[[#This Row],[City]],Table9[city],Table9[admin_name])</f>
        <v>Nordrhein-Westfalen</v>
      </c>
    </row>
    <row r="102" spans="1:6" x14ac:dyDescent="0.55000000000000004">
      <c r="A102" s="2">
        <v>301</v>
      </c>
      <c r="B102" s="1" t="s">
        <v>105</v>
      </c>
      <c r="C102" s="2">
        <v>2</v>
      </c>
      <c r="D102" s="1">
        <v>47.984999999999999</v>
      </c>
      <c r="E102" s="1">
        <v>8.8232999999999997</v>
      </c>
      <c r="F102" t="str">
        <f>_xlfn.XLOOKUP(Table6[[#This Row],[City]],Table9[city],Table9[admin_name])</f>
        <v>Baden-Württemberg</v>
      </c>
    </row>
    <row r="103" spans="1:6" x14ac:dyDescent="0.55000000000000004">
      <c r="A103" s="2">
        <v>302</v>
      </c>
      <c r="B103" s="1" t="s">
        <v>106</v>
      </c>
      <c r="C103" s="2">
        <v>2</v>
      </c>
      <c r="D103" s="1">
        <v>49.25</v>
      </c>
      <c r="E103" s="1">
        <v>6.8333000000000004</v>
      </c>
      <c r="F103" t="str">
        <f>_xlfn.XLOOKUP(Table6[[#This Row],[City]],Table9[city],Table9[admin_name])</f>
        <v>Saarland</v>
      </c>
    </row>
    <row r="104" spans="1:6" x14ac:dyDescent="0.55000000000000004">
      <c r="A104" s="2">
        <v>303</v>
      </c>
      <c r="B104" s="1" t="s">
        <v>107</v>
      </c>
      <c r="C104" s="2">
        <v>2</v>
      </c>
      <c r="D104" s="1">
        <v>50.008600000000001</v>
      </c>
      <c r="E104" s="1">
        <v>8.7756000000000007</v>
      </c>
      <c r="F104" t="str">
        <f>_xlfn.XLOOKUP(Table6[[#This Row],[City]],Table9[city],Table9[admin_name])</f>
        <v>Hessen</v>
      </c>
    </row>
    <row r="105" spans="1:6" x14ac:dyDescent="0.55000000000000004">
      <c r="A105" s="2">
        <v>304</v>
      </c>
      <c r="B105" s="1" t="s">
        <v>108</v>
      </c>
      <c r="C105" s="2">
        <v>2</v>
      </c>
      <c r="D105" s="1">
        <v>51.4833</v>
      </c>
      <c r="E105" s="1">
        <v>7.2167000000000003</v>
      </c>
      <c r="F105" t="str">
        <f>_xlfn.XLOOKUP(Table6[[#This Row],[City]],Table9[city],Table9[admin_name])</f>
        <v>Nordrhein-Westfalen</v>
      </c>
    </row>
    <row r="106" spans="1:6" x14ac:dyDescent="0.55000000000000004">
      <c r="A106" s="2">
        <v>305</v>
      </c>
      <c r="B106" s="1" t="s">
        <v>109</v>
      </c>
      <c r="C106" s="2">
        <v>2</v>
      </c>
      <c r="D106" s="1">
        <v>48.811100000000003</v>
      </c>
      <c r="E106" s="1">
        <v>9.3656000000000006</v>
      </c>
      <c r="F106" t="str">
        <f>_xlfn.XLOOKUP(Table6[[#This Row],[City]],Table9[city],Table9[admin_name])</f>
        <v>Baden-Württemberg</v>
      </c>
    </row>
    <row r="107" spans="1:6" x14ac:dyDescent="0.55000000000000004">
      <c r="A107" s="2">
        <v>306</v>
      </c>
      <c r="B107" s="1" t="s">
        <v>110</v>
      </c>
      <c r="C107" s="2">
        <v>2</v>
      </c>
      <c r="D107" s="1">
        <v>51.9833</v>
      </c>
      <c r="E107" s="1">
        <v>8.8000000000000007</v>
      </c>
      <c r="F107" t="str">
        <f>_xlfn.XLOOKUP(Table6[[#This Row],[City]],Table9[city],Table9[admin_name])</f>
        <v>Nordrhein-Westfalen</v>
      </c>
    </row>
    <row r="108" spans="1:6" x14ac:dyDescent="0.55000000000000004">
      <c r="A108" s="2">
        <v>307</v>
      </c>
      <c r="B108" s="1" t="s">
        <v>111</v>
      </c>
      <c r="C108" s="2">
        <v>2</v>
      </c>
      <c r="D108" s="1">
        <v>51.616700000000002</v>
      </c>
      <c r="E108" s="1">
        <v>7.3833000000000002</v>
      </c>
      <c r="F108" t="str">
        <f>_xlfn.XLOOKUP(Table6[[#This Row],[City]],Table9[city],Table9[admin_name])</f>
        <v>Nordrhein-Westfalen</v>
      </c>
    </row>
    <row r="109" spans="1:6" x14ac:dyDescent="0.55000000000000004">
      <c r="A109" s="2">
        <v>308</v>
      </c>
      <c r="B109" s="1" t="s">
        <v>112</v>
      </c>
      <c r="C109" s="2">
        <v>2</v>
      </c>
      <c r="D109" s="1">
        <v>48.857199999999999</v>
      </c>
      <c r="E109" s="1">
        <v>8.2030999999999992</v>
      </c>
      <c r="F109" t="str">
        <f>_xlfn.XLOOKUP(Table6[[#This Row],[City]],Table9[city],Table9[admin_name])</f>
        <v>Baden-Württemberg</v>
      </c>
    </row>
    <row r="110" spans="1:6" x14ac:dyDescent="0.55000000000000004">
      <c r="A110" s="2">
        <v>309</v>
      </c>
      <c r="B110" s="1" t="s">
        <v>113</v>
      </c>
      <c r="C110" s="2">
        <v>2</v>
      </c>
      <c r="D110" s="1">
        <v>51.263100000000001</v>
      </c>
      <c r="E110" s="1">
        <v>6.5491999999999999</v>
      </c>
      <c r="F110" t="str">
        <f>_xlfn.XLOOKUP(Table6[[#This Row],[City]],Table9[city],Table9[admin_name])</f>
        <v>Nordrhein-Westfalen</v>
      </c>
    </row>
    <row r="111" spans="1:6" x14ac:dyDescent="0.55000000000000004">
      <c r="A111" s="2">
        <v>310</v>
      </c>
      <c r="B111" s="1" t="s">
        <v>114</v>
      </c>
      <c r="C111" s="2">
        <v>2</v>
      </c>
      <c r="D111" s="1">
        <v>48.2119</v>
      </c>
      <c r="E111" s="1">
        <v>9.0238999999999994</v>
      </c>
      <c r="F111" t="str">
        <f>_xlfn.XLOOKUP(Table6[[#This Row],[City]],Table9[city],Table9[admin_name])</f>
        <v>Baden-Württemberg</v>
      </c>
    </row>
    <row r="112" spans="1:6" x14ac:dyDescent="0.55000000000000004">
      <c r="A112" s="2">
        <v>311</v>
      </c>
      <c r="B112" s="1" t="s">
        <v>115</v>
      </c>
      <c r="C112" s="2">
        <v>2</v>
      </c>
      <c r="D112" s="1">
        <v>53.866700000000002</v>
      </c>
      <c r="E112" s="1">
        <v>8.6999999999999993</v>
      </c>
      <c r="F112" t="str">
        <f>_xlfn.XLOOKUP(Table6[[#This Row],[City]],Table9[city],Table9[admin_name])</f>
        <v>Niedersachsen</v>
      </c>
    </row>
    <row r="113" spans="1:6" x14ac:dyDescent="0.55000000000000004">
      <c r="A113" s="2">
        <v>312</v>
      </c>
      <c r="B113" s="1" t="s">
        <v>116</v>
      </c>
      <c r="C113" s="2">
        <v>2</v>
      </c>
      <c r="D113" s="1">
        <v>52.439399999999999</v>
      </c>
      <c r="E113" s="1">
        <v>9.74</v>
      </c>
      <c r="F113" t="str">
        <f>_xlfn.XLOOKUP(Table6[[#This Row],[City]],Table9[city],Table9[admin_name])</f>
        <v>Niedersachsen</v>
      </c>
    </row>
    <row r="114" spans="1:6" x14ac:dyDescent="0.55000000000000004">
      <c r="A114" s="2">
        <v>313</v>
      </c>
      <c r="B114" s="1" t="s">
        <v>117</v>
      </c>
      <c r="C114" s="2">
        <v>2</v>
      </c>
      <c r="D114" s="1">
        <v>48.835299999999997</v>
      </c>
      <c r="E114" s="1">
        <v>12.964399999999999</v>
      </c>
      <c r="F114" t="str">
        <f>_xlfn.XLOOKUP(Table6[[#This Row],[City]],Table9[city],Table9[admin_name])</f>
        <v>Bayern</v>
      </c>
    </row>
    <row r="115" spans="1:6" x14ac:dyDescent="0.55000000000000004">
      <c r="A115" s="2">
        <v>314</v>
      </c>
      <c r="B115" s="1" t="s">
        <v>118</v>
      </c>
      <c r="C115" s="2">
        <v>2</v>
      </c>
      <c r="D115" s="1">
        <v>54.083300000000001</v>
      </c>
      <c r="E115" s="1">
        <v>12.1333</v>
      </c>
      <c r="F115" t="str">
        <f>_xlfn.XLOOKUP(Table6[[#This Row],[City]],Table9[city],Table9[admin_name])</f>
        <v>Mecklenburg-Vorpommern</v>
      </c>
    </row>
    <row r="116" spans="1:6" x14ac:dyDescent="0.55000000000000004">
      <c r="A116" s="2">
        <v>315</v>
      </c>
      <c r="B116" s="1" t="s">
        <v>119</v>
      </c>
      <c r="C116" s="2">
        <v>2</v>
      </c>
      <c r="D116" s="1">
        <v>52.85</v>
      </c>
      <c r="E116" s="1">
        <v>11.15</v>
      </c>
      <c r="F116" t="str">
        <f>_xlfn.XLOOKUP(Table6[[#This Row],[City]],Table9[city],Table9[admin_name])</f>
        <v>Sachsen-Anhalt</v>
      </c>
    </row>
    <row r="117" spans="1:6" x14ac:dyDescent="0.55000000000000004">
      <c r="A117" s="2">
        <v>316</v>
      </c>
      <c r="B117" s="1" t="s">
        <v>120</v>
      </c>
      <c r="C117" s="2">
        <v>2</v>
      </c>
      <c r="D117" s="1">
        <v>50.650599999999997</v>
      </c>
      <c r="E117" s="1">
        <v>11.354200000000001</v>
      </c>
      <c r="F117" t="str">
        <f>_xlfn.XLOOKUP(Table6[[#This Row],[City]],Table9[city],Table9[admin_name])</f>
        <v>Thüringen</v>
      </c>
    </row>
    <row r="118" spans="1:6" x14ac:dyDescent="0.55000000000000004">
      <c r="A118" s="2">
        <v>317</v>
      </c>
      <c r="B118" s="1" t="s">
        <v>121</v>
      </c>
      <c r="C118" s="2">
        <v>2</v>
      </c>
      <c r="D118" s="1">
        <v>50.125700000000002</v>
      </c>
      <c r="E118" s="1">
        <v>8.83</v>
      </c>
      <c r="F118" t="str">
        <f>_xlfn.XLOOKUP(Table6[[#This Row],[City]],Table9[city],Table9[admin_name])</f>
        <v>Hessen</v>
      </c>
    </row>
    <row r="119" spans="1:6" x14ac:dyDescent="0.55000000000000004">
      <c r="A119" s="2">
        <v>318</v>
      </c>
      <c r="B119" s="1" t="s">
        <v>122</v>
      </c>
      <c r="C119" s="2">
        <v>2</v>
      </c>
      <c r="D119" s="1">
        <v>52.754399999999997</v>
      </c>
      <c r="E119" s="1">
        <v>13.2369</v>
      </c>
      <c r="F119" t="str">
        <f>_xlfn.XLOOKUP(Table6[[#This Row],[City]],Table9[city],Table9[admin_name])</f>
        <v>Brandenburg</v>
      </c>
    </row>
    <row r="120" spans="1:6" x14ac:dyDescent="0.55000000000000004">
      <c r="A120" s="2">
        <v>319</v>
      </c>
      <c r="B120" s="1" t="s">
        <v>123</v>
      </c>
      <c r="C120" s="2">
        <v>2</v>
      </c>
      <c r="D120" s="1">
        <v>51.642200000000003</v>
      </c>
      <c r="E120" s="1">
        <v>7.2507999999999999</v>
      </c>
      <c r="F120" t="str">
        <f>_xlfn.XLOOKUP(Table6[[#This Row],[City]],Table9[city],Table9[admin_name])</f>
        <v>Nordrhein-Westfalen</v>
      </c>
    </row>
    <row r="121" spans="1:6" x14ac:dyDescent="0.55000000000000004">
      <c r="A121" s="2">
        <v>320</v>
      </c>
      <c r="B121" s="1" t="s">
        <v>124</v>
      </c>
      <c r="C121" s="2">
        <v>2</v>
      </c>
      <c r="D121" s="1">
        <v>49.25</v>
      </c>
      <c r="E121" s="1">
        <v>8.8833000000000002</v>
      </c>
      <c r="F121" t="str">
        <f>_xlfn.XLOOKUP(Table6[[#This Row],[City]],Table9[city],Table9[admin_name])</f>
        <v>Baden-Württemberg</v>
      </c>
    </row>
    <row r="122" spans="1:6" x14ac:dyDescent="0.55000000000000004">
      <c r="A122" s="2">
        <v>321</v>
      </c>
      <c r="B122" s="1" t="s">
        <v>125</v>
      </c>
      <c r="C122" s="2">
        <v>2</v>
      </c>
      <c r="D122" s="1">
        <v>49.2333</v>
      </c>
      <c r="E122" s="1">
        <v>7</v>
      </c>
      <c r="F122" t="str">
        <f>_xlfn.XLOOKUP(Table6[[#This Row],[City]],Table9[city],Table9[admin_name])</f>
        <v>Saarland</v>
      </c>
    </row>
    <row r="123" spans="1:6" x14ac:dyDescent="0.55000000000000004">
      <c r="A123" s="2">
        <v>322</v>
      </c>
      <c r="B123" s="1" t="s">
        <v>126</v>
      </c>
      <c r="C123" s="2">
        <v>2</v>
      </c>
      <c r="D123" s="1">
        <v>52.283299999999997</v>
      </c>
      <c r="E123" s="1">
        <v>7.4333</v>
      </c>
      <c r="F123" t="str">
        <f>_xlfn.XLOOKUP(Table6[[#This Row],[City]],Table9[city],Table9[admin_name])</f>
        <v>Nordrhein-Westfalen</v>
      </c>
    </row>
    <row r="124" spans="1:6" x14ac:dyDescent="0.55000000000000004">
      <c r="A124" s="2">
        <v>323</v>
      </c>
      <c r="B124" s="1" t="s">
        <v>127</v>
      </c>
      <c r="C124" s="2">
        <v>2</v>
      </c>
      <c r="D124" s="1">
        <v>52.964700000000001</v>
      </c>
      <c r="E124" s="1">
        <v>10.565799999999999</v>
      </c>
      <c r="F124" t="str">
        <f>_xlfn.XLOOKUP(Table6[[#This Row],[City]],Table9[city],Table9[admin_name])</f>
        <v>Niedersachsen</v>
      </c>
    </row>
    <row r="125" spans="1:6" x14ac:dyDescent="0.55000000000000004">
      <c r="A125" s="2">
        <v>324</v>
      </c>
      <c r="B125" s="1" t="s">
        <v>128</v>
      </c>
      <c r="C125" s="2">
        <v>2</v>
      </c>
      <c r="D125" s="1">
        <v>51.388100000000001</v>
      </c>
      <c r="E125" s="1">
        <v>7.3949999999999996</v>
      </c>
      <c r="F125" t="str">
        <f>_xlfn.XLOOKUP(Table6[[#This Row],[City]],Table9[city],Table9[admin_name])</f>
        <v>Nordrhein-Westfalen</v>
      </c>
    </row>
    <row r="126" spans="1:6" x14ac:dyDescent="0.55000000000000004">
      <c r="A126" s="2">
        <v>325</v>
      </c>
      <c r="B126" s="1" t="s">
        <v>129</v>
      </c>
      <c r="C126" s="2">
        <v>2</v>
      </c>
      <c r="D126" s="1">
        <v>51.830800000000004</v>
      </c>
      <c r="E126" s="1">
        <v>7.2782999999999998</v>
      </c>
      <c r="F126" t="str">
        <f>_xlfn.XLOOKUP(Table6[[#This Row],[City]],Table9[city],Table9[admin_name])</f>
        <v>Nordrhein-Westfalen</v>
      </c>
    </row>
    <row r="127" spans="1:6" x14ac:dyDescent="0.55000000000000004">
      <c r="A127" s="2">
        <v>326</v>
      </c>
      <c r="B127" s="1" t="s">
        <v>130</v>
      </c>
      <c r="C127" s="2">
        <v>2</v>
      </c>
      <c r="D127" s="1">
        <v>50</v>
      </c>
      <c r="E127" s="1">
        <v>8.2711000000000006</v>
      </c>
      <c r="F127" t="str">
        <f>_xlfn.XLOOKUP(Table6[[#This Row],[City]],Table9[city],Table9[admin_name])</f>
        <v>Rheinland-Pfalz</v>
      </c>
    </row>
    <row r="128" spans="1:6" x14ac:dyDescent="0.55000000000000004">
      <c r="A128" s="2">
        <v>327</v>
      </c>
      <c r="B128" s="1" t="s">
        <v>131</v>
      </c>
      <c r="C128" s="2">
        <v>2</v>
      </c>
      <c r="D128" s="1">
        <v>50.978700000000003</v>
      </c>
      <c r="E128" s="1">
        <v>11.0328</v>
      </c>
      <c r="F128" t="str">
        <f>_xlfn.XLOOKUP(Table6[[#This Row],[City]],Table9[city],Table9[admin_name])</f>
        <v>Thüringen</v>
      </c>
    </row>
    <row r="129" spans="1:6" x14ac:dyDescent="0.55000000000000004">
      <c r="A129" s="2">
        <v>328</v>
      </c>
      <c r="B129" s="1" t="s">
        <v>132</v>
      </c>
      <c r="C129" s="2">
        <v>2</v>
      </c>
      <c r="D129" s="1">
        <v>50.6</v>
      </c>
      <c r="E129" s="1">
        <v>6.65</v>
      </c>
      <c r="F129" t="str">
        <f>_xlfn.XLOOKUP(Table6[[#This Row],[City]],Table9[city],Table9[admin_name])</f>
        <v>Nordrhein-Westfalen</v>
      </c>
    </row>
    <row r="130" spans="1:6" x14ac:dyDescent="0.55000000000000004">
      <c r="A130" s="2">
        <v>329</v>
      </c>
      <c r="B130" s="1" t="s">
        <v>133</v>
      </c>
      <c r="C130" s="2">
        <v>2</v>
      </c>
      <c r="D130" s="1">
        <v>51.966700000000003</v>
      </c>
      <c r="E130" s="1">
        <v>8.2331000000000003</v>
      </c>
      <c r="F130" t="str">
        <f>_xlfn.XLOOKUP(Table6[[#This Row],[City]],Table9[city],Table9[admin_name])</f>
        <v>Nordrhein-Westfalen</v>
      </c>
    </row>
    <row r="131" spans="1:6" x14ac:dyDescent="0.55000000000000004">
      <c r="A131" s="2">
        <v>330</v>
      </c>
      <c r="B131" s="1" t="s">
        <v>134</v>
      </c>
      <c r="C131" s="2">
        <v>2</v>
      </c>
      <c r="D131" s="1">
        <v>50.683300000000003</v>
      </c>
      <c r="E131" s="1">
        <v>7.1833</v>
      </c>
      <c r="F131" t="str">
        <f>_xlfn.XLOOKUP(Table6[[#This Row],[City]],Table9[city],Table9[admin_name])</f>
        <v>Nordrhein-Westfalen</v>
      </c>
    </row>
    <row r="132" spans="1:6" x14ac:dyDescent="0.55000000000000004">
      <c r="A132" s="2">
        <v>331</v>
      </c>
      <c r="B132" s="1" t="s">
        <v>135</v>
      </c>
      <c r="C132" s="2">
        <v>2</v>
      </c>
      <c r="D132" s="1">
        <v>51.953899999999997</v>
      </c>
      <c r="E132" s="1">
        <v>7.9932999999999996</v>
      </c>
      <c r="F132" t="str">
        <f>_xlfn.XLOOKUP(Table6[[#This Row],[City]],Table9[city],Table9[admin_name])</f>
        <v>Nordrhein-Westfalen</v>
      </c>
    </row>
    <row r="133" spans="1:6" x14ac:dyDescent="0.55000000000000004">
      <c r="A133" s="2">
        <v>332</v>
      </c>
      <c r="B133" s="1" t="s">
        <v>136</v>
      </c>
      <c r="C133" s="2">
        <v>2</v>
      </c>
      <c r="D133" s="1">
        <v>52.127800000000001</v>
      </c>
      <c r="E133" s="1">
        <v>11.629200000000001</v>
      </c>
      <c r="F133" t="str">
        <f>_xlfn.XLOOKUP(Table6[[#This Row],[City]],Table9[city],Table9[admin_name])</f>
        <v>Sachsen-Anhalt</v>
      </c>
    </row>
    <row r="134" spans="1:6" x14ac:dyDescent="0.55000000000000004">
      <c r="A134" s="2">
        <v>333</v>
      </c>
      <c r="B134" s="1" t="s">
        <v>137</v>
      </c>
      <c r="C134" s="2">
        <v>2</v>
      </c>
      <c r="D134" s="1">
        <v>49.7517</v>
      </c>
      <c r="E134" s="1">
        <v>8.1160999999999994</v>
      </c>
      <c r="F134" t="str">
        <f>_xlfn.XLOOKUP(Table6[[#This Row],[City]],Table9[city],Table9[admin_name])</f>
        <v>Rheinland-Pfalz</v>
      </c>
    </row>
    <row r="135" spans="1:6" x14ac:dyDescent="0.55000000000000004">
      <c r="A135" s="2">
        <v>334</v>
      </c>
      <c r="B135" s="1" t="s">
        <v>138</v>
      </c>
      <c r="C135" s="2">
        <v>2</v>
      </c>
      <c r="D135" s="1">
        <v>48.808599999999998</v>
      </c>
      <c r="E135" s="1">
        <v>9.2758000000000003</v>
      </c>
      <c r="F135" t="str">
        <f>_xlfn.XLOOKUP(Table6[[#This Row],[City]],Table9[city],Table9[admin_name])</f>
        <v>Baden-Württemberg</v>
      </c>
    </row>
    <row r="136" spans="1:6" x14ac:dyDescent="0.55000000000000004">
      <c r="A136" s="2">
        <v>335</v>
      </c>
      <c r="B136" s="1" t="s">
        <v>139</v>
      </c>
      <c r="C136" s="2">
        <v>2</v>
      </c>
      <c r="D136" s="1">
        <v>53.476900000000001</v>
      </c>
      <c r="E136" s="1">
        <v>9.7011000000000003</v>
      </c>
      <c r="F136" t="str">
        <f>_xlfn.XLOOKUP(Table6[[#This Row],[City]],Table9[city],Table9[admin_name])</f>
        <v>Niedersachsen</v>
      </c>
    </row>
    <row r="137" spans="1:6" x14ac:dyDescent="0.55000000000000004">
      <c r="A137" s="2">
        <v>336</v>
      </c>
      <c r="B137" s="1" t="s">
        <v>140</v>
      </c>
      <c r="C137" s="2">
        <v>2</v>
      </c>
      <c r="D137" s="1">
        <v>49.466700000000003</v>
      </c>
      <c r="E137" s="1">
        <v>7.1666999999999996</v>
      </c>
      <c r="F137" t="str">
        <f>_xlfn.XLOOKUP(Table6[[#This Row],[City]],Table9[city],Table9[admin_name])</f>
        <v>Saarland</v>
      </c>
    </row>
    <row r="138" spans="1:6" x14ac:dyDescent="0.55000000000000004">
      <c r="A138" s="2">
        <v>337</v>
      </c>
      <c r="B138" s="1" t="s">
        <v>141</v>
      </c>
      <c r="C138" s="2">
        <v>2</v>
      </c>
      <c r="D138" s="1">
        <v>51.433300000000003</v>
      </c>
      <c r="E138" s="1">
        <v>7.3333000000000004</v>
      </c>
      <c r="F138" t="str">
        <f>_xlfn.XLOOKUP(Table6[[#This Row],[City]],Table9[city],Table9[admin_name])</f>
        <v>Nordrhein-Westfalen</v>
      </c>
    </row>
    <row r="139" spans="1:6" x14ac:dyDescent="0.55000000000000004">
      <c r="A139" s="2">
        <v>338</v>
      </c>
      <c r="B139" s="1" t="s">
        <v>142</v>
      </c>
      <c r="C139" s="2">
        <v>2</v>
      </c>
      <c r="D139" s="1">
        <v>49.3</v>
      </c>
      <c r="E139" s="1">
        <v>7.1166999999999998</v>
      </c>
      <c r="F139" t="str">
        <f>_xlfn.XLOOKUP(Table6[[#This Row],[City]],Table9[city],Table9[admin_name])</f>
        <v>Saarland</v>
      </c>
    </row>
    <row r="140" spans="1:6" x14ac:dyDescent="0.55000000000000004">
      <c r="A140" s="2">
        <v>339</v>
      </c>
      <c r="B140" s="1" t="s">
        <v>143</v>
      </c>
      <c r="C140" s="2">
        <v>2</v>
      </c>
      <c r="D140" s="1">
        <v>51.552799999999998</v>
      </c>
      <c r="E140" s="1">
        <v>7.9138999999999999</v>
      </c>
      <c r="F140" t="str">
        <f>_xlfn.XLOOKUP(Table6[[#This Row],[City]],Table9[city],Table9[admin_name])</f>
        <v>Nordrhein-Westfalen</v>
      </c>
    </row>
    <row r="141" spans="1:6" x14ac:dyDescent="0.55000000000000004">
      <c r="A141" s="2">
        <v>340</v>
      </c>
      <c r="B141" s="1" t="s">
        <v>144</v>
      </c>
      <c r="C141" s="2">
        <v>2</v>
      </c>
      <c r="D141" s="1">
        <v>50.133299999999998</v>
      </c>
      <c r="E141" s="1">
        <v>11.033300000000001</v>
      </c>
      <c r="F141" t="str">
        <f>_xlfn.XLOOKUP(Table6[[#This Row],[City]],Table9[city],Table9[admin_name])</f>
        <v>Bayern</v>
      </c>
    </row>
    <row r="142" spans="1:6" x14ac:dyDescent="0.55000000000000004">
      <c r="A142" s="2">
        <v>341</v>
      </c>
      <c r="B142" s="1" t="s">
        <v>145</v>
      </c>
      <c r="C142" s="2">
        <v>2</v>
      </c>
      <c r="D142" s="1">
        <v>48.830300000000001</v>
      </c>
      <c r="E142" s="1">
        <v>9.3169000000000004</v>
      </c>
      <c r="F142" t="str">
        <f>_xlfn.XLOOKUP(Table6[[#This Row],[City]],Table9[city],Table9[admin_name])</f>
        <v>Baden-Württemberg</v>
      </c>
    </row>
    <row r="143" spans="1:6" x14ac:dyDescent="0.55000000000000004">
      <c r="A143" s="2">
        <v>342</v>
      </c>
      <c r="B143" s="1" t="s">
        <v>146</v>
      </c>
      <c r="C143" s="2">
        <v>2</v>
      </c>
      <c r="D143" s="1">
        <v>52.637799999999999</v>
      </c>
      <c r="E143" s="1">
        <v>13.2036</v>
      </c>
      <c r="F143" t="str">
        <f>_xlfn.XLOOKUP(Table6[[#This Row],[City]],Table9[city],Table9[admin_name])</f>
        <v>Brandenburg</v>
      </c>
    </row>
    <row r="144" spans="1:6" x14ac:dyDescent="0.55000000000000004">
      <c r="A144" s="2">
        <v>343</v>
      </c>
      <c r="B144" s="1" t="s">
        <v>147</v>
      </c>
      <c r="C144" s="2">
        <v>2</v>
      </c>
      <c r="D144" s="1">
        <v>53.706400000000002</v>
      </c>
      <c r="E144" s="1">
        <v>10.010300000000001</v>
      </c>
      <c r="F144" t="str">
        <f>_xlfn.XLOOKUP(Table6[[#This Row],[City]],Table9[city],Table9[admin_name])</f>
        <v>Schleswig-Holstein</v>
      </c>
    </row>
    <row r="145" spans="1:6" x14ac:dyDescent="0.55000000000000004">
      <c r="A145" s="2">
        <v>344</v>
      </c>
      <c r="B145" s="1" t="s">
        <v>148</v>
      </c>
      <c r="C145" s="2">
        <v>2</v>
      </c>
      <c r="D145" s="1">
        <v>52.283299999999997</v>
      </c>
      <c r="E145" s="1">
        <v>11.416700000000001</v>
      </c>
      <c r="F145" t="str">
        <f>_xlfn.XLOOKUP(Table6[[#This Row],[City]],Table9[city],Table9[admin_name])</f>
        <v>Sachsen-Anhalt</v>
      </c>
    </row>
    <row r="146" spans="1:6" x14ac:dyDescent="0.55000000000000004">
      <c r="A146" s="2">
        <v>345</v>
      </c>
      <c r="B146" s="1" t="s">
        <v>149</v>
      </c>
      <c r="C146" s="2">
        <v>2</v>
      </c>
      <c r="D146" s="1">
        <v>48.571100000000001</v>
      </c>
      <c r="E146" s="1">
        <v>7.8089000000000004</v>
      </c>
      <c r="F146" t="str">
        <f>_xlfn.XLOOKUP(Table6[[#This Row],[City]],Table9[city],Table9[admin_name])</f>
        <v>Baden-Württemberg</v>
      </c>
    </row>
    <row r="147" spans="1:6" x14ac:dyDescent="0.55000000000000004">
      <c r="A147" s="2">
        <v>346</v>
      </c>
      <c r="B147" s="1" t="s">
        <v>150</v>
      </c>
      <c r="C147" s="2">
        <v>2</v>
      </c>
      <c r="D147" s="1">
        <v>50.916699999999999</v>
      </c>
      <c r="E147" s="1">
        <v>6.8167</v>
      </c>
      <c r="F147" t="str">
        <f>_xlfn.XLOOKUP(Table6[[#This Row],[City]],Table9[city],Table9[admin_name])</f>
        <v>Nordrhein-Westfalen</v>
      </c>
    </row>
    <row r="148" spans="1:6" x14ac:dyDescent="0.55000000000000004">
      <c r="A148" s="2">
        <v>347</v>
      </c>
      <c r="B148" s="1" t="s">
        <v>151</v>
      </c>
      <c r="C148" s="2">
        <v>2</v>
      </c>
      <c r="D148" s="1">
        <v>50.256900000000002</v>
      </c>
      <c r="E148" s="1">
        <v>8.6417999999999999</v>
      </c>
      <c r="F148" t="str">
        <f>_xlfn.XLOOKUP(Table6[[#This Row],[City]],Table9[city],Table9[admin_name])</f>
        <v>Hessen</v>
      </c>
    </row>
    <row r="149" spans="1:6" x14ac:dyDescent="0.55000000000000004">
      <c r="A149" s="2">
        <v>348</v>
      </c>
      <c r="B149" s="1" t="s">
        <v>152</v>
      </c>
      <c r="C149" s="2">
        <v>2</v>
      </c>
      <c r="D149" s="1">
        <v>48.6267</v>
      </c>
      <c r="E149" s="1">
        <v>9.3353000000000002</v>
      </c>
      <c r="F149" t="str">
        <f>_xlfn.XLOOKUP(Table6[[#This Row],[City]],Table9[city],Table9[admin_name])</f>
        <v>Baden-Württemberg</v>
      </c>
    </row>
    <row r="150" spans="1:6" x14ac:dyDescent="0.55000000000000004">
      <c r="A150" s="2">
        <v>349</v>
      </c>
      <c r="B150" s="1" t="s">
        <v>153</v>
      </c>
      <c r="C150" s="2">
        <v>2</v>
      </c>
      <c r="D150" s="1">
        <v>50.428600000000003</v>
      </c>
      <c r="E150" s="1">
        <v>7.4614000000000003</v>
      </c>
      <c r="F150" t="str">
        <f>_xlfn.XLOOKUP(Table6[[#This Row],[City]],Table9[city],Table9[admin_name])</f>
        <v>Rheinland-Pfalz</v>
      </c>
    </row>
    <row r="151" spans="1:6" x14ac:dyDescent="0.55000000000000004">
      <c r="A151" s="2">
        <v>350</v>
      </c>
      <c r="B151" s="1" t="s">
        <v>154</v>
      </c>
      <c r="C151" s="2">
        <v>2</v>
      </c>
      <c r="D151" s="1">
        <v>51.2</v>
      </c>
      <c r="E151" s="1">
        <v>6.4333</v>
      </c>
      <c r="F151" t="str">
        <f>_xlfn.XLOOKUP(Table6[[#This Row],[City]],Table9[city],Table9[admin_name])</f>
        <v>Nordrhein-Westfalen</v>
      </c>
    </row>
    <row r="152" spans="1:6" x14ac:dyDescent="0.55000000000000004">
      <c r="A152" s="2">
        <v>351</v>
      </c>
      <c r="B152" s="1" t="s">
        <v>155</v>
      </c>
      <c r="C152" s="2">
        <v>2</v>
      </c>
      <c r="D152" s="1">
        <v>53.226900000000001</v>
      </c>
      <c r="E152" s="1">
        <v>8.7947000000000006</v>
      </c>
      <c r="F152" t="str">
        <f>_xlfn.XLOOKUP(Table6[[#This Row],[City]],Table9[city],Table9[admin_name])</f>
        <v>Niedersachsen</v>
      </c>
    </row>
    <row r="153" spans="1:6" x14ac:dyDescent="0.55000000000000004">
      <c r="A153" s="2">
        <v>352</v>
      </c>
      <c r="B153" s="1" t="s">
        <v>156</v>
      </c>
      <c r="C153" s="2">
        <v>2</v>
      </c>
      <c r="D153" s="1">
        <v>52.922199999999997</v>
      </c>
      <c r="E153" s="1">
        <v>12.8</v>
      </c>
      <c r="F153" t="str">
        <f>_xlfn.XLOOKUP(Table6[[#This Row],[City]],Table9[city],Table9[admin_name])</f>
        <v>Brandenburg</v>
      </c>
    </row>
    <row r="154" spans="1:6" x14ac:dyDescent="0.55000000000000004">
      <c r="A154" s="2">
        <v>353</v>
      </c>
      <c r="B154" s="1" t="s">
        <v>157</v>
      </c>
      <c r="C154" s="2">
        <v>2</v>
      </c>
      <c r="D154" s="1">
        <v>51.3</v>
      </c>
      <c r="E154" s="1">
        <v>6.85</v>
      </c>
      <c r="F154" t="str">
        <f>_xlfn.XLOOKUP(Table6[[#This Row],[City]],Table9[city],Table9[admin_name])</f>
        <v>Nordrhein-Westfalen</v>
      </c>
    </row>
    <row r="155" spans="1:6" x14ac:dyDescent="0.55000000000000004">
      <c r="A155" s="2">
        <v>354</v>
      </c>
      <c r="B155" s="1" t="s">
        <v>158</v>
      </c>
      <c r="C155" s="2">
        <v>2</v>
      </c>
      <c r="D155" s="1">
        <v>52.308100000000003</v>
      </c>
      <c r="E155" s="1">
        <v>8.6231000000000009</v>
      </c>
      <c r="F155" t="str">
        <f>_xlfn.XLOOKUP(Table6[[#This Row],[City]],Table9[city],Table9[admin_name])</f>
        <v>Nordrhein-Westfalen</v>
      </c>
    </row>
    <row r="156" spans="1:6" x14ac:dyDescent="0.55000000000000004">
      <c r="A156" s="2">
        <v>355</v>
      </c>
      <c r="B156" s="1" t="s">
        <v>159</v>
      </c>
      <c r="C156" s="2">
        <v>2</v>
      </c>
      <c r="D156" s="1">
        <v>50.962200000000003</v>
      </c>
      <c r="E156" s="1">
        <v>13.940300000000001</v>
      </c>
      <c r="F156" t="str">
        <f>_xlfn.XLOOKUP(Table6[[#This Row],[City]],Table9[city],Table9[admin_name])</f>
        <v>Sachsen</v>
      </c>
    </row>
    <row r="157" spans="1:6" x14ac:dyDescent="0.55000000000000004">
      <c r="A157" s="2">
        <v>356</v>
      </c>
      <c r="B157" s="1" t="s">
        <v>160</v>
      </c>
      <c r="C157" s="2">
        <v>2</v>
      </c>
      <c r="D157" s="1">
        <v>48.7761</v>
      </c>
      <c r="E157" s="1">
        <v>9.1775000000000002</v>
      </c>
      <c r="F157" t="str">
        <f>_xlfn.XLOOKUP(Table6[[#This Row],[City]],Table9[city],Table9[admin_name])</f>
        <v>Baden-Württemberg</v>
      </c>
    </row>
    <row r="158" spans="1:6" x14ac:dyDescent="0.55000000000000004">
      <c r="A158" s="2">
        <v>357</v>
      </c>
      <c r="B158" s="1" t="s">
        <v>161</v>
      </c>
      <c r="C158" s="2">
        <v>2</v>
      </c>
      <c r="D158" s="1">
        <v>50.733899999999998</v>
      </c>
      <c r="E158" s="1">
        <v>7.0997000000000003</v>
      </c>
      <c r="F158" t="str">
        <f>_xlfn.XLOOKUP(Table6[[#This Row],[City]],Table9[city],Table9[admin_name])</f>
        <v>Nordrhein-Westfalen</v>
      </c>
    </row>
    <row r="159" spans="1:6" x14ac:dyDescent="0.55000000000000004">
      <c r="A159" s="2">
        <v>358</v>
      </c>
      <c r="B159" s="1" t="s">
        <v>162</v>
      </c>
      <c r="C159" s="2">
        <v>2</v>
      </c>
      <c r="D159" s="1">
        <v>50.868299999999998</v>
      </c>
      <c r="E159" s="1">
        <v>9.7066999999999997</v>
      </c>
      <c r="F159" t="str">
        <f>_xlfn.XLOOKUP(Table6[[#This Row],[City]],Table9[city],Table9[admin_name])</f>
        <v>Hessen</v>
      </c>
    </row>
    <row r="160" spans="1:6" x14ac:dyDescent="0.55000000000000004">
      <c r="A160" s="2">
        <v>359</v>
      </c>
      <c r="B160" s="1" t="s">
        <v>163</v>
      </c>
      <c r="C160" s="2">
        <v>2</v>
      </c>
      <c r="D160" s="1">
        <v>51.200299999999999</v>
      </c>
      <c r="E160" s="1">
        <v>6.6939000000000002</v>
      </c>
      <c r="F160" t="str">
        <f>_xlfn.XLOOKUP(Table6[[#This Row],[City]],Table9[city],Table9[admin_name])</f>
        <v>Nordrhein-Westfalen</v>
      </c>
    </row>
    <row r="161" spans="1:6" x14ac:dyDescent="0.55000000000000004">
      <c r="A161" s="2">
        <v>360</v>
      </c>
      <c r="B161" s="1" t="s">
        <v>164</v>
      </c>
      <c r="C161" s="2">
        <v>2</v>
      </c>
      <c r="D161" s="1">
        <v>50.816699999999997</v>
      </c>
      <c r="E161" s="1">
        <v>7.0332999999999997</v>
      </c>
      <c r="F161" t="str">
        <f>_xlfn.XLOOKUP(Table6[[#This Row],[City]],Table9[city],Table9[admin_name])</f>
        <v>Nordrhein-Westfalen</v>
      </c>
    </row>
    <row r="162" spans="1:6" x14ac:dyDescent="0.55000000000000004">
      <c r="A162" s="2">
        <v>361</v>
      </c>
      <c r="B162" s="1" t="s">
        <v>165</v>
      </c>
      <c r="C162" s="2">
        <v>2</v>
      </c>
      <c r="D162" s="1">
        <v>51.116700000000002</v>
      </c>
      <c r="E162" s="1">
        <v>7.0167000000000002</v>
      </c>
      <c r="F162" t="str">
        <f>_xlfn.XLOOKUP(Table6[[#This Row],[City]],Table9[city],Table9[admin_name])</f>
        <v>Nordrhein-Westfalen</v>
      </c>
    </row>
    <row r="163" spans="1:6" x14ac:dyDescent="0.55000000000000004">
      <c r="A163" s="2">
        <v>362</v>
      </c>
      <c r="B163" s="1" t="s">
        <v>166</v>
      </c>
      <c r="C163" s="2">
        <v>2</v>
      </c>
      <c r="D163" s="1">
        <v>50.776200000000003</v>
      </c>
      <c r="E163" s="1">
        <v>6.0838000000000001</v>
      </c>
      <c r="F163" t="str">
        <f>_xlfn.XLOOKUP(Table6[[#This Row],[City]],Table9[city],Table9[admin_name])</f>
        <v>Nordrhein-Westfalen</v>
      </c>
    </row>
    <row r="164" spans="1:6" x14ac:dyDescent="0.55000000000000004">
      <c r="A164" s="2">
        <v>363</v>
      </c>
      <c r="B164" s="1" t="s">
        <v>167</v>
      </c>
      <c r="C164" s="2">
        <v>2</v>
      </c>
      <c r="D164" s="1">
        <v>50.055799999999998</v>
      </c>
      <c r="E164" s="1">
        <v>8.6971000000000007</v>
      </c>
      <c r="F164" t="str">
        <f>_xlfn.XLOOKUP(Table6[[#This Row],[City]],Table9[city],Table9[admin_name])</f>
        <v>Hessen</v>
      </c>
    </row>
    <row r="165" spans="1:6" x14ac:dyDescent="0.55000000000000004">
      <c r="A165" s="2">
        <v>364</v>
      </c>
      <c r="B165" s="1" t="s">
        <v>168</v>
      </c>
      <c r="C165" s="2">
        <v>2</v>
      </c>
      <c r="D165" s="1">
        <v>51.219799999999999</v>
      </c>
      <c r="E165" s="1">
        <v>7.6273</v>
      </c>
      <c r="F165" t="str">
        <f>_xlfn.XLOOKUP(Table6[[#This Row],[City]],Table9[city],Table9[admin_name])</f>
        <v>Nordrhein-Westfalen</v>
      </c>
    </row>
    <row r="166" spans="1:6" x14ac:dyDescent="0.55000000000000004">
      <c r="A166" s="2">
        <v>365</v>
      </c>
      <c r="B166" s="1" t="s">
        <v>169</v>
      </c>
      <c r="C166" s="2">
        <v>2</v>
      </c>
      <c r="D166" s="1">
        <v>51.366700000000002</v>
      </c>
      <c r="E166" s="1">
        <v>10.8667</v>
      </c>
      <c r="F166" t="str">
        <f>_xlfn.XLOOKUP(Table6[[#This Row],[City]],Table9[city],Table9[admin_name])</f>
        <v>Thüringen</v>
      </c>
    </row>
    <row r="167" spans="1:6" x14ac:dyDescent="0.55000000000000004">
      <c r="A167" s="2">
        <v>366</v>
      </c>
      <c r="B167" s="1" t="s">
        <v>170</v>
      </c>
      <c r="C167" s="2">
        <v>2</v>
      </c>
      <c r="D167" s="1">
        <v>52.625599999999999</v>
      </c>
      <c r="E167" s="1">
        <v>10.0825</v>
      </c>
      <c r="F167" t="str">
        <f>_xlfn.XLOOKUP(Table6[[#This Row],[City]],Table9[city],Table9[admin_name])</f>
        <v>Niedersachsen</v>
      </c>
    </row>
    <row r="168" spans="1:6" x14ac:dyDescent="0.55000000000000004">
      <c r="A168" s="2">
        <v>367</v>
      </c>
      <c r="B168" s="1" t="s">
        <v>171</v>
      </c>
      <c r="C168" s="2">
        <v>2</v>
      </c>
      <c r="D168" s="1">
        <v>50.359699999999997</v>
      </c>
      <c r="E168" s="1">
        <v>7.5978000000000003</v>
      </c>
      <c r="F168" t="str">
        <f>_xlfn.XLOOKUP(Table6[[#This Row],[City]],Table9[city],Table9[admin_name])</f>
        <v>Rheinland-Pfalz</v>
      </c>
    </row>
    <row r="169" spans="1:6" x14ac:dyDescent="0.55000000000000004">
      <c r="A169" s="2">
        <v>368</v>
      </c>
      <c r="B169" s="1" t="s">
        <v>172</v>
      </c>
      <c r="C169" s="2">
        <v>2</v>
      </c>
      <c r="D169" s="1">
        <v>51.193100000000001</v>
      </c>
      <c r="E169" s="1">
        <v>7.0130999999999997</v>
      </c>
      <c r="F169" t="str">
        <f>_xlfn.XLOOKUP(Table6[[#This Row],[City]],Table9[city],Table9[admin_name])</f>
        <v>Nordrhein-Westfalen</v>
      </c>
    </row>
    <row r="170" spans="1:6" x14ac:dyDescent="0.55000000000000004">
      <c r="A170" s="2">
        <v>369</v>
      </c>
      <c r="B170" s="1" t="s">
        <v>173</v>
      </c>
      <c r="C170" s="2">
        <v>2</v>
      </c>
      <c r="D170" s="1">
        <v>50.494999999999997</v>
      </c>
      <c r="E170" s="1">
        <v>12.138299999999999</v>
      </c>
      <c r="F170" t="str">
        <f>_xlfn.XLOOKUP(Table6[[#This Row],[City]],Table9[city],Table9[admin_name])</f>
        <v>Sachsen</v>
      </c>
    </row>
    <row r="171" spans="1:6" x14ac:dyDescent="0.55000000000000004">
      <c r="A171" s="2">
        <v>370</v>
      </c>
      <c r="B171" s="1" t="s">
        <v>174</v>
      </c>
      <c r="C171" s="2">
        <v>2</v>
      </c>
      <c r="D171" s="1">
        <v>52.203099999999999</v>
      </c>
      <c r="E171" s="1">
        <v>8.3361000000000001</v>
      </c>
      <c r="F171" t="str">
        <f>_xlfn.XLOOKUP(Table6[[#This Row],[City]],Table9[city],Table9[admin_name])</f>
        <v>Niedersachsen</v>
      </c>
    </row>
    <row r="172" spans="1:6" x14ac:dyDescent="0.55000000000000004">
      <c r="A172" s="2">
        <v>371</v>
      </c>
      <c r="B172" s="1" t="s">
        <v>175</v>
      </c>
      <c r="C172" s="2">
        <v>2</v>
      </c>
      <c r="D172" s="1">
        <v>51.216700000000003</v>
      </c>
      <c r="E172" s="1">
        <v>10.45</v>
      </c>
      <c r="F172" t="str">
        <f>_xlfn.XLOOKUP(Table6[[#This Row],[City]],Table9[city],Table9[admin_name])</f>
        <v>Thüringen</v>
      </c>
    </row>
    <row r="173" spans="1:6" x14ac:dyDescent="0.55000000000000004">
      <c r="A173" s="2">
        <v>372</v>
      </c>
      <c r="B173" s="1" t="s">
        <v>176</v>
      </c>
      <c r="C173" s="2">
        <v>2</v>
      </c>
      <c r="D173" s="1">
        <v>52.216700000000003</v>
      </c>
      <c r="E173" s="1">
        <v>9.5500000000000007</v>
      </c>
      <c r="F173" t="str">
        <f>_xlfn.XLOOKUP(Table6[[#This Row],[City]],Table9[city],Table9[admin_name])</f>
        <v>Niedersachsen</v>
      </c>
    </row>
    <row r="174" spans="1:6" x14ac:dyDescent="0.55000000000000004">
      <c r="A174" s="2">
        <v>373</v>
      </c>
      <c r="B174" s="1" t="s">
        <v>177</v>
      </c>
      <c r="C174" s="2">
        <v>2</v>
      </c>
      <c r="D174" s="1">
        <v>50.082500000000003</v>
      </c>
      <c r="E174" s="1">
        <v>8.24</v>
      </c>
      <c r="F174" t="str">
        <f>_xlfn.XLOOKUP(Table6[[#This Row],[City]],Table9[city],Table9[admin_name])</f>
        <v>Hessen</v>
      </c>
    </row>
    <row r="175" spans="1:6" x14ac:dyDescent="0.55000000000000004">
      <c r="A175" s="2">
        <v>374</v>
      </c>
      <c r="B175" s="1" t="s">
        <v>178</v>
      </c>
      <c r="C175" s="2">
        <v>2</v>
      </c>
      <c r="D175" s="1">
        <v>51.66</v>
      </c>
      <c r="E175" s="1">
        <v>6.9641999999999999</v>
      </c>
      <c r="F175" t="str">
        <f>_xlfn.XLOOKUP(Table6[[#This Row],[City]],Table9[city],Table9[admin_name])</f>
        <v>Nordrhein-Westfalen</v>
      </c>
    </row>
    <row r="176" spans="1:6" x14ac:dyDescent="0.55000000000000004">
      <c r="A176" s="2">
        <v>375</v>
      </c>
      <c r="B176" s="1" t="s">
        <v>179</v>
      </c>
      <c r="C176" s="2">
        <v>2</v>
      </c>
      <c r="D176" s="1">
        <v>52.212499999999999</v>
      </c>
      <c r="E176" s="1">
        <v>7.0416999999999996</v>
      </c>
      <c r="F176" t="str">
        <f>_xlfn.XLOOKUP(Table6[[#This Row],[City]],Table9[city],Table9[admin_name])</f>
        <v>Nordrhein-Westfalen</v>
      </c>
    </row>
    <row r="177" spans="1:6" x14ac:dyDescent="0.55000000000000004">
      <c r="A177" s="2">
        <v>376</v>
      </c>
      <c r="B177" s="1" t="s">
        <v>180</v>
      </c>
      <c r="C177" s="2">
        <v>2</v>
      </c>
      <c r="D177" s="1">
        <v>50.874400000000001</v>
      </c>
      <c r="E177" s="1">
        <v>6.1615000000000002</v>
      </c>
      <c r="F177" t="str">
        <f>_xlfn.XLOOKUP(Table6[[#This Row],[City]],Table9[city],Table9[admin_name])</f>
        <v>Nordrhein-Westfalen</v>
      </c>
    </row>
    <row r="178" spans="1:6" x14ac:dyDescent="0.55000000000000004">
      <c r="A178" s="2">
        <v>377</v>
      </c>
      <c r="B178" s="1" t="s">
        <v>181</v>
      </c>
      <c r="C178" s="2">
        <v>2</v>
      </c>
      <c r="D178" s="1">
        <v>52.730600000000003</v>
      </c>
      <c r="E178" s="1">
        <v>8.2886000000000006</v>
      </c>
      <c r="F178" t="str">
        <f>_xlfn.XLOOKUP(Table6[[#This Row],[City]],Table9[city],Table9[admin_name])</f>
        <v>Niedersachsen</v>
      </c>
    </row>
    <row r="179" spans="1:6" x14ac:dyDescent="0.55000000000000004">
      <c r="A179" s="2">
        <v>378</v>
      </c>
      <c r="B179" s="1" t="s">
        <v>182</v>
      </c>
      <c r="C179" s="2">
        <v>2</v>
      </c>
      <c r="D179" s="1">
        <v>51.9</v>
      </c>
      <c r="E179" s="1">
        <v>8.3833000000000002</v>
      </c>
      <c r="F179" t="str">
        <f>_xlfn.XLOOKUP(Table6[[#This Row],[City]],Table9[city],Table9[admin_name])</f>
        <v>Nordrhein-Westfalen</v>
      </c>
    </row>
    <row r="180" spans="1:6" x14ac:dyDescent="0.55000000000000004">
      <c r="A180" s="2">
        <v>379</v>
      </c>
      <c r="B180" s="1" t="s">
        <v>183</v>
      </c>
      <c r="C180" s="2">
        <v>2</v>
      </c>
      <c r="D180" s="1">
        <v>50.811700000000002</v>
      </c>
      <c r="E180" s="1">
        <v>10.2333</v>
      </c>
      <c r="F180" t="str">
        <f>_xlfn.XLOOKUP(Table6[[#This Row],[City]],Table9[city],Table9[admin_name])</f>
        <v>Thüringen</v>
      </c>
    </row>
    <row r="181" spans="1:6" x14ac:dyDescent="0.55000000000000004">
      <c r="A181" s="2">
        <v>380</v>
      </c>
      <c r="B181" s="1" t="s">
        <v>184</v>
      </c>
      <c r="C181" s="2">
        <v>2</v>
      </c>
      <c r="D181" s="1">
        <v>50.05</v>
      </c>
      <c r="E181" s="1">
        <v>10.2333</v>
      </c>
      <c r="F181" t="str">
        <f>_xlfn.XLOOKUP(Table6[[#This Row],[City]],Table9[city],Table9[admin_name])</f>
        <v>Bayern</v>
      </c>
    </row>
    <row r="182" spans="1:6" x14ac:dyDescent="0.55000000000000004">
      <c r="A182" s="2">
        <v>381</v>
      </c>
      <c r="B182" s="1" t="s">
        <v>185</v>
      </c>
      <c r="C182" s="2">
        <v>2</v>
      </c>
      <c r="D182" s="1">
        <v>51.583300000000001</v>
      </c>
      <c r="E182" s="1">
        <v>6.25</v>
      </c>
      <c r="F182" t="str">
        <f>_xlfn.XLOOKUP(Table6[[#This Row],[City]],Table9[city],Table9[admin_name])</f>
        <v>Nordrhein-Westfalen</v>
      </c>
    </row>
    <row r="183" spans="1:6" x14ac:dyDescent="0.55000000000000004">
      <c r="A183" s="2">
        <v>382</v>
      </c>
      <c r="B183" s="1" t="s">
        <v>186</v>
      </c>
      <c r="C183" s="2">
        <v>2</v>
      </c>
      <c r="D183" s="1">
        <v>52.505499999999998</v>
      </c>
      <c r="E183" s="1">
        <v>9.4635999999999996</v>
      </c>
      <c r="F183" t="str">
        <f>_xlfn.XLOOKUP(Table6[[#This Row],[City]],Table9[city],Table9[admin_name])</f>
        <v>Niedersachsen</v>
      </c>
    </row>
    <row r="184" spans="1:6" x14ac:dyDescent="0.55000000000000004">
      <c r="A184" s="2">
        <v>383</v>
      </c>
      <c r="B184" s="1" t="s">
        <v>187</v>
      </c>
      <c r="C184" s="2">
        <v>2</v>
      </c>
      <c r="D184" s="1">
        <v>51.683300000000003</v>
      </c>
      <c r="E184" s="1">
        <v>7.4832999999999998</v>
      </c>
      <c r="F184" t="str">
        <f>_xlfn.XLOOKUP(Table6[[#This Row],[City]],Table9[city],Table9[admin_name])</f>
        <v>Nordrhein-Westfalen</v>
      </c>
    </row>
    <row r="185" spans="1:6" x14ac:dyDescent="0.55000000000000004">
      <c r="A185" s="2">
        <v>384</v>
      </c>
      <c r="B185" s="1" t="s">
        <v>188</v>
      </c>
      <c r="C185" s="2">
        <v>2</v>
      </c>
      <c r="D185" s="1">
        <v>51.5167</v>
      </c>
      <c r="E185" s="1">
        <v>14.0167</v>
      </c>
      <c r="F185" t="str">
        <f>_xlfn.XLOOKUP(Table6[[#This Row],[City]],Table9[city],Table9[admin_name])</f>
        <v>Brandenburg</v>
      </c>
    </row>
    <row r="186" spans="1:6" x14ac:dyDescent="0.55000000000000004">
      <c r="A186" s="2">
        <v>385</v>
      </c>
      <c r="B186" s="1" t="s">
        <v>189</v>
      </c>
      <c r="C186" s="2">
        <v>2</v>
      </c>
      <c r="D186" s="1">
        <v>52.402200000000001</v>
      </c>
      <c r="E186" s="1">
        <v>13.2706</v>
      </c>
      <c r="F186" t="str">
        <f>_xlfn.XLOOKUP(Table6[[#This Row],[City]],Table9[city],Table9[admin_name])</f>
        <v>Brandenburg</v>
      </c>
    </row>
    <row r="187" spans="1:6" x14ac:dyDescent="0.55000000000000004">
      <c r="A187" s="2">
        <v>386</v>
      </c>
      <c r="B187" s="1" t="s">
        <v>190</v>
      </c>
      <c r="C187" s="2">
        <v>2</v>
      </c>
      <c r="D187" s="1">
        <v>51.75</v>
      </c>
      <c r="E187" s="1">
        <v>11.466699999999999</v>
      </c>
      <c r="F187" t="str">
        <f>_xlfn.XLOOKUP(Table6[[#This Row],[City]],Table9[city],Table9[admin_name])</f>
        <v>Sachsen-Anhalt</v>
      </c>
    </row>
    <row r="188" spans="1:6" x14ac:dyDescent="0.55000000000000004">
      <c r="A188" s="2">
        <v>387</v>
      </c>
      <c r="B188" s="1" t="s">
        <v>191</v>
      </c>
      <c r="C188" s="2">
        <v>2</v>
      </c>
      <c r="D188" s="1">
        <v>50.875599999999999</v>
      </c>
      <c r="E188" s="1">
        <v>8.0167000000000002</v>
      </c>
      <c r="F188" t="str">
        <f>_xlfn.XLOOKUP(Table6[[#This Row],[City]],Table9[city],Table9[admin_name])</f>
        <v>Nordrhein-Westfalen</v>
      </c>
    </row>
    <row r="189" spans="1:6" x14ac:dyDescent="0.55000000000000004">
      <c r="A189" s="2">
        <v>388</v>
      </c>
      <c r="B189" s="1" t="s">
        <v>192</v>
      </c>
      <c r="C189" s="2">
        <v>2</v>
      </c>
      <c r="D189" s="1">
        <v>52.190600000000003</v>
      </c>
      <c r="E189" s="1">
        <v>9.0814000000000004</v>
      </c>
      <c r="F189" t="str">
        <f>_xlfn.XLOOKUP(Table6[[#This Row],[City]],Table9[city],Table9[admin_name])</f>
        <v>Niedersachsen</v>
      </c>
    </row>
    <row r="190" spans="1:6" x14ac:dyDescent="0.55000000000000004">
      <c r="A190" s="2">
        <v>389</v>
      </c>
      <c r="B190" s="1" t="s">
        <v>193</v>
      </c>
      <c r="C190" s="2">
        <v>2</v>
      </c>
      <c r="D190" s="1">
        <v>48.692799999999998</v>
      </c>
      <c r="E190" s="1">
        <v>9.1427999999999994</v>
      </c>
      <c r="F190" t="str">
        <f>_xlfn.XLOOKUP(Table6[[#This Row],[City]],Table9[city],Table9[admin_name])</f>
        <v>Baden-Württemberg</v>
      </c>
    </row>
    <row r="191" spans="1:6" x14ac:dyDescent="0.55000000000000004">
      <c r="A191" s="2">
        <v>390</v>
      </c>
      <c r="B191" s="1" t="s">
        <v>194</v>
      </c>
      <c r="C191" s="2">
        <v>2</v>
      </c>
      <c r="D191" s="1">
        <v>51.560299999999998</v>
      </c>
      <c r="E191" s="1">
        <v>13.005599999999999</v>
      </c>
      <c r="F191" t="str">
        <f>_xlfn.XLOOKUP(Table6[[#This Row],[City]],Table9[city],Table9[admin_name])</f>
        <v>Sachsen</v>
      </c>
    </row>
    <row r="192" spans="1:6" x14ac:dyDescent="0.55000000000000004">
      <c r="A192" s="2">
        <v>391</v>
      </c>
      <c r="B192" s="1" t="s">
        <v>195</v>
      </c>
      <c r="C192" s="2">
        <v>2</v>
      </c>
      <c r="D192" s="1">
        <v>52.272500000000001</v>
      </c>
      <c r="E192" s="1">
        <v>11.855</v>
      </c>
      <c r="F192" t="str">
        <f>_xlfn.XLOOKUP(Table6[[#This Row],[City]],Table9[city],Table9[admin_name])</f>
        <v>Sachsen-Anhalt</v>
      </c>
    </row>
    <row r="193" spans="1:6" x14ac:dyDescent="0.55000000000000004">
      <c r="A193" s="2">
        <v>392</v>
      </c>
      <c r="B193" s="1" t="s">
        <v>196</v>
      </c>
      <c r="C193" s="2">
        <v>2</v>
      </c>
      <c r="D193" s="1">
        <v>50.911900000000003</v>
      </c>
      <c r="E193" s="1">
        <v>13.3428</v>
      </c>
      <c r="F193" t="str">
        <f>_xlfn.XLOOKUP(Table6[[#This Row],[City]],Table9[city],Table9[admin_name])</f>
        <v>Sachsen</v>
      </c>
    </row>
    <row r="194" spans="1:6" x14ac:dyDescent="0.55000000000000004">
      <c r="A194" s="2">
        <v>393</v>
      </c>
      <c r="B194" s="1" t="s">
        <v>197</v>
      </c>
      <c r="C194" s="2">
        <v>2</v>
      </c>
      <c r="D194" s="1">
        <v>48.596699999999998</v>
      </c>
      <c r="E194" s="1">
        <v>8.8707999999999991</v>
      </c>
      <c r="F194" t="str">
        <f>_xlfn.XLOOKUP(Table6[[#This Row],[City]],Table9[city],Table9[admin_name])</f>
        <v>Baden-Württemberg</v>
      </c>
    </row>
    <row r="195" spans="1:6" x14ac:dyDescent="0.55000000000000004">
      <c r="A195" s="2">
        <v>394</v>
      </c>
      <c r="B195" s="1" t="s">
        <v>198</v>
      </c>
      <c r="C195" s="2">
        <v>2</v>
      </c>
      <c r="D195" s="1">
        <v>51.152099999999997</v>
      </c>
      <c r="E195" s="1">
        <v>11.809799999999999</v>
      </c>
      <c r="F195" t="str">
        <f>_xlfn.XLOOKUP(Table6[[#This Row],[City]],Table9[city],Table9[admin_name])</f>
        <v>Sachsen-Anhalt</v>
      </c>
    </row>
    <row r="196" spans="1:6" x14ac:dyDescent="0.55000000000000004">
      <c r="A196" s="2">
        <v>395</v>
      </c>
      <c r="B196" s="1" t="s">
        <v>199</v>
      </c>
      <c r="C196" s="2">
        <v>2</v>
      </c>
      <c r="D196" s="1">
        <v>53.596699999999998</v>
      </c>
      <c r="E196" s="1">
        <v>7.2055999999999996</v>
      </c>
      <c r="F196" t="str">
        <f>_xlfn.XLOOKUP(Table6[[#This Row],[City]],Table9[city],Table9[admin_name])</f>
        <v>Niedersachsen</v>
      </c>
    </row>
    <row r="197" spans="1:6" x14ac:dyDescent="0.55000000000000004">
      <c r="A197" s="2">
        <v>396</v>
      </c>
      <c r="B197" s="1" t="s">
        <v>200</v>
      </c>
      <c r="C197" s="2">
        <v>2</v>
      </c>
      <c r="D197" s="1">
        <v>51.088299999999997</v>
      </c>
      <c r="E197" s="1">
        <v>6.5875000000000004</v>
      </c>
      <c r="F197" t="str">
        <f>_xlfn.XLOOKUP(Table6[[#This Row],[City]],Table9[city],Table9[admin_name])</f>
        <v>Nordrhein-Westfalen</v>
      </c>
    </row>
    <row r="198" spans="1:6" x14ac:dyDescent="0.55000000000000004">
      <c r="A198" s="2">
        <v>397</v>
      </c>
      <c r="B198" s="1" t="s">
        <v>201</v>
      </c>
      <c r="C198" s="2">
        <v>2</v>
      </c>
      <c r="D198" s="1">
        <v>50.8782</v>
      </c>
      <c r="E198" s="1">
        <v>12.0824</v>
      </c>
      <c r="F198" t="str">
        <f>_xlfn.XLOOKUP(Table6[[#This Row],[City]],Table9[city],Table9[admin_name])</f>
        <v>Thüringen</v>
      </c>
    </row>
    <row r="199" spans="1:6" x14ac:dyDescent="0.55000000000000004">
      <c r="A199" s="2">
        <v>398</v>
      </c>
      <c r="B199" s="1" t="s">
        <v>202</v>
      </c>
      <c r="C199" s="2">
        <v>2</v>
      </c>
      <c r="D199" s="1">
        <v>48.859699999999997</v>
      </c>
      <c r="E199" s="1">
        <v>9.1850000000000005</v>
      </c>
      <c r="F199" t="str">
        <f>_xlfn.XLOOKUP(Table6[[#This Row],[City]],Table9[city],Table9[admin_name])</f>
        <v>Baden-Württemberg</v>
      </c>
    </row>
    <row r="200" spans="1:6" x14ac:dyDescent="0.55000000000000004">
      <c r="A200" s="2">
        <v>399</v>
      </c>
      <c r="B200" s="1" t="s">
        <v>203</v>
      </c>
      <c r="C200" s="2">
        <v>2</v>
      </c>
      <c r="D200" s="1">
        <v>53.316699999999997</v>
      </c>
      <c r="E200" s="1">
        <v>13.8667</v>
      </c>
      <c r="F200" t="str">
        <f>_xlfn.XLOOKUP(Table6[[#This Row],[City]],Table9[city],Table9[admin_name])</f>
        <v>Brandenburg</v>
      </c>
    </row>
    <row r="201" spans="1:6" x14ac:dyDescent="0.55000000000000004">
      <c r="A201" s="2">
        <v>400</v>
      </c>
      <c r="B201" s="1" t="s">
        <v>204</v>
      </c>
      <c r="C201" s="2">
        <v>2</v>
      </c>
      <c r="D201" s="1">
        <v>51.161700000000003</v>
      </c>
      <c r="E201" s="1">
        <v>11.116899999999999</v>
      </c>
      <c r="F201" t="str">
        <f>_xlfn.XLOOKUP(Table6[[#This Row],[City]],Table9[city],Table9[admin_name])</f>
        <v>Thüringen</v>
      </c>
    </row>
    <row r="202" spans="1:6" x14ac:dyDescent="0.55000000000000004">
      <c r="A202" s="2">
        <v>401</v>
      </c>
      <c r="B202" s="1" t="s">
        <v>205</v>
      </c>
      <c r="C202" s="2">
        <v>2</v>
      </c>
      <c r="D202" s="1">
        <v>52.162199999999999</v>
      </c>
      <c r="E202" s="1">
        <v>10.536899999999999</v>
      </c>
      <c r="F202" t="str">
        <f>_xlfn.XLOOKUP(Table6[[#This Row],[City]],Table9[city],Table9[admin_name])</f>
        <v>Niedersachsen</v>
      </c>
    </row>
    <row r="203" spans="1:6" x14ac:dyDescent="0.55000000000000004">
      <c r="A203" s="2">
        <v>402</v>
      </c>
      <c r="B203" s="1" t="s">
        <v>206</v>
      </c>
      <c r="C203" s="2">
        <v>2</v>
      </c>
      <c r="D203" s="1">
        <v>48.445</v>
      </c>
      <c r="E203" s="1">
        <v>8.6911000000000005</v>
      </c>
      <c r="F203" t="str">
        <f>_xlfn.XLOOKUP(Table6[[#This Row],[City]],Table9[city],Table9[admin_name])</f>
        <v>Baden-Württemberg</v>
      </c>
    </row>
    <row r="204" spans="1:6" x14ac:dyDescent="0.55000000000000004">
      <c r="A204" s="2">
        <v>403</v>
      </c>
      <c r="B204" s="1" t="s">
        <v>207</v>
      </c>
      <c r="C204" s="2">
        <v>2</v>
      </c>
      <c r="D204" s="1">
        <v>51.133299999999998</v>
      </c>
      <c r="E204" s="1">
        <v>8.3000000000000007</v>
      </c>
      <c r="F204" t="str">
        <f>_xlfn.XLOOKUP(Table6[[#This Row],[City]],Table9[city],Table9[admin_name])</f>
        <v>Nordrhein-Westfalen</v>
      </c>
    </row>
    <row r="205" spans="1:6" x14ac:dyDescent="0.55000000000000004">
      <c r="A205" s="2">
        <v>404</v>
      </c>
      <c r="B205" s="1" t="s">
        <v>208</v>
      </c>
      <c r="C205" s="2">
        <v>2</v>
      </c>
      <c r="D205" s="1">
        <v>51.333300000000001</v>
      </c>
      <c r="E205" s="1">
        <v>6.5667</v>
      </c>
      <c r="F205" t="str">
        <f>_xlfn.XLOOKUP(Table6[[#This Row],[City]],Table9[city],Table9[admin_name])</f>
        <v>Nordrhein-Westfalen</v>
      </c>
    </row>
    <row r="206" spans="1:6" x14ac:dyDescent="0.55000000000000004">
      <c r="A206" s="2">
        <v>405</v>
      </c>
      <c r="B206" s="1" t="s">
        <v>209</v>
      </c>
      <c r="C206" s="2">
        <v>2</v>
      </c>
      <c r="D206" s="1">
        <v>51.212800000000001</v>
      </c>
      <c r="E206" s="1">
        <v>7.8715000000000002</v>
      </c>
      <c r="F206" t="str">
        <f>_xlfn.XLOOKUP(Table6[[#This Row],[City]],Table9[city],Table9[admin_name])</f>
        <v>Nordrhein-Westfalen</v>
      </c>
    </row>
    <row r="207" spans="1:6" x14ac:dyDescent="0.55000000000000004">
      <c r="A207" s="2">
        <v>406</v>
      </c>
      <c r="B207" s="1" t="s">
        <v>210</v>
      </c>
      <c r="C207" s="2">
        <v>2</v>
      </c>
      <c r="D207" s="1">
        <v>49.2</v>
      </c>
      <c r="E207" s="1">
        <v>7.6</v>
      </c>
      <c r="F207" t="str">
        <f>_xlfn.XLOOKUP(Table6[[#This Row],[City]],Table9[city],Table9[admin_name])</f>
        <v>Rheinland-Pfalz</v>
      </c>
    </row>
    <row r="208" spans="1:6" x14ac:dyDescent="0.55000000000000004">
      <c r="A208" s="2">
        <v>407</v>
      </c>
      <c r="B208" s="1" t="s">
        <v>211</v>
      </c>
      <c r="C208" s="2">
        <v>2</v>
      </c>
      <c r="D208" s="1">
        <v>50.659700000000001</v>
      </c>
      <c r="E208" s="1">
        <v>6.7916999999999996</v>
      </c>
      <c r="F208" t="str">
        <f>_xlfn.XLOOKUP(Table6[[#This Row],[City]],Table9[city],Table9[admin_name])</f>
        <v>Nordrhein-Westfalen</v>
      </c>
    </row>
    <row r="209" spans="1:6" x14ac:dyDescent="0.55000000000000004">
      <c r="A209" s="2">
        <v>408</v>
      </c>
      <c r="B209" s="1" t="s">
        <v>212</v>
      </c>
      <c r="C209" s="2">
        <v>2</v>
      </c>
      <c r="D209" s="1">
        <v>53.066699999999997</v>
      </c>
      <c r="E209" s="1">
        <v>7.4</v>
      </c>
      <c r="F209" t="str">
        <f>_xlfn.XLOOKUP(Table6[[#This Row],[City]],Table9[city],Table9[admin_name])</f>
        <v>Niedersachsen</v>
      </c>
    </row>
    <row r="210" spans="1:6" x14ac:dyDescent="0.55000000000000004">
      <c r="A210" s="2">
        <v>409</v>
      </c>
      <c r="B210" s="1" t="s">
        <v>213</v>
      </c>
      <c r="C210" s="2">
        <v>2</v>
      </c>
      <c r="D210" s="1">
        <v>53.050600000000003</v>
      </c>
      <c r="E210" s="1">
        <v>8.6317000000000004</v>
      </c>
      <c r="F210" t="str">
        <f>_xlfn.XLOOKUP(Table6[[#This Row],[City]],Table9[city],Table9[admin_name])</f>
        <v>Niedersachsen</v>
      </c>
    </row>
    <row r="211" spans="1:6" x14ac:dyDescent="0.55000000000000004">
      <c r="A211" s="2">
        <v>410</v>
      </c>
      <c r="B211" s="1" t="s">
        <v>214</v>
      </c>
      <c r="C211" s="2">
        <v>2</v>
      </c>
      <c r="D211" s="1">
        <v>51.5139</v>
      </c>
      <c r="E211" s="1">
        <v>7.4653</v>
      </c>
      <c r="F211" t="str">
        <f>_xlfn.XLOOKUP(Table6[[#This Row],[City]],Table9[city],Table9[admin_name])</f>
        <v>Nordrhein-Westfalen</v>
      </c>
    </row>
    <row r="212" spans="1:6" x14ac:dyDescent="0.55000000000000004">
      <c r="A212" s="2">
        <v>411</v>
      </c>
      <c r="B212" s="1" t="s">
        <v>215</v>
      </c>
      <c r="C212" s="2">
        <v>2</v>
      </c>
      <c r="D212" s="1">
        <v>48.624400000000001</v>
      </c>
      <c r="E212" s="1">
        <v>9.8306000000000004</v>
      </c>
      <c r="F212" t="str">
        <f>_xlfn.XLOOKUP(Table6[[#This Row],[City]],Table9[city],Table9[admin_name])</f>
        <v>Baden-Württemberg</v>
      </c>
    </row>
    <row r="213" spans="1:6" x14ac:dyDescent="0.55000000000000004">
      <c r="A213" s="2">
        <v>412</v>
      </c>
      <c r="B213" s="1" t="s">
        <v>216</v>
      </c>
      <c r="C213" s="2">
        <v>2</v>
      </c>
      <c r="D213" s="1">
        <v>52.303100000000001</v>
      </c>
      <c r="E213" s="1">
        <v>9.4605999999999995</v>
      </c>
      <c r="F213" t="str">
        <f>_xlfn.XLOOKUP(Table6[[#This Row],[City]],Table9[city],Table9[admin_name])</f>
        <v>Niedersachsen</v>
      </c>
    </row>
    <row r="214" spans="1:6" x14ac:dyDescent="0.55000000000000004">
      <c r="A214" s="2">
        <v>413</v>
      </c>
      <c r="B214" s="1" t="s">
        <v>217</v>
      </c>
      <c r="C214" s="2">
        <v>2</v>
      </c>
      <c r="D214" s="1">
        <v>50.087600000000002</v>
      </c>
      <c r="E214" s="1">
        <v>8.4446999999999992</v>
      </c>
      <c r="F214" t="str">
        <f>_xlfn.XLOOKUP(Table6[[#This Row],[City]],Table9[city],Table9[admin_name])</f>
        <v>Hessen</v>
      </c>
    </row>
    <row r="215" spans="1:6" x14ac:dyDescent="0.55000000000000004">
      <c r="A215" s="2">
        <v>414</v>
      </c>
      <c r="B215" s="1" t="s">
        <v>218</v>
      </c>
      <c r="C215" s="2">
        <v>2</v>
      </c>
      <c r="D215" s="1">
        <v>53.583300000000001</v>
      </c>
      <c r="E215" s="1">
        <v>9.6999999999999993</v>
      </c>
      <c r="F215" t="str">
        <f>_xlfn.XLOOKUP(Table6[[#This Row],[City]],Table9[city],Table9[admin_name])</f>
        <v>Schleswig-Holstein</v>
      </c>
    </row>
    <row r="216" spans="1:6" x14ac:dyDescent="0.55000000000000004">
      <c r="A216" s="2">
        <v>415</v>
      </c>
      <c r="B216" s="1" t="s">
        <v>219</v>
      </c>
      <c r="C216" s="2">
        <v>2</v>
      </c>
      <c r="D216" s="1">
        <v>51.308100000000003</v>
      </c>
      <c r="E216" s="1">
        <v>13.293900000000001</v>
      </c>
      <c r="F216" t="str">
        <f>_xlfn.XLOOKUP(Table6[[#This Row],[City]],Table9[city],Table9[admin_name])</f>
        <v>Sachsen</v>
      </c>
    </row>
    <row r="217" spans="1:6" x14ac:dyDescent="0.55000000000000004">
      <c r="A217" s="2">
        <v>416</v>
      </c>
      <c r="B217" s="1" t="s">
        <v>220</v>
      </c>
      <c r="C217" s="2">
        <v>2</v>
      </c>
      <c r="D217" s="1">
        <v>48.895000000000003</v>
      </c>
      <c r="E217" s="1">
        <v>8.7050000000000001</v>
      </c>
      <c r="F217" t="str">
        <f>_xlfn.XLOOKUP(Table6[[#This Row],[City]],Table9[city],Table9[admin_name])</f>
        <v>Baden-Württemberg</v>
      </c>
    </row>
    <row r="218" spans="1:6" x14ac:dyDescent="0.55000000000000004">
      <c r="A218" s="2">
        <v>417</v>
      </c>
      <c r="B218" s="1" t="s">
        <v>221</v>
      </c>
      <c r="C218" s="2">
        <v>2</v>
      </c>
      <c r="D218" s="1">
        <v>52.103099999999998</v>
      </c>
      <c r="E218" s="1">
        <v>9.36</v>
      </c>
      <c r="F218" t="str">
        <f>_xlfn.XLOOKUP(Table6[[#This Row],[City]],Table9[city],Table9[admin_name])</f>
        <v>Niedersachsen</v>
      </c>
    </row>
    <row r="219" spans="1:6" x14ac:dyDescent="0.55000000000000004">
      <c r="A219" s="2">
        <v>418</v>
      </c>
      <c r="B219" s="1" t="s">
        <v>222</v>
      </c>
      <c r="C219" s="2">
        <v>2</v>
      </c>
      <c r="D219" s="1">
        <v>49.112200000000001</v>
      </c>
      <c r="E219" s="1">
        <v>9.7375000000000007</v>
      </c>
      <c r="F219" t="str">
        <f>_xlfn.XLOOKUP(Table6[[#This Row],[City]],Table9[city],Table9[admin_name])</f>
        <v>Baden-Württemberg</v>
      </c>
    </row>
    <row r="220" spans="1:6" x14ac:dyDescent="0.55000000000000004">
      <c r="A220" s="2">
        <v>419</v>
      </c>
      <c r="B220" s="1" t="s">
        <v>223</v>
      </c>
      <c r="C220" s="2">
        <v>2</v>
      </c>
      <c r="D220" s="1">
        <v>50.816699999999997</v>
      </c>
      <c r="E220" s="1">
        <v>8.7667000000000002</v>
      </c>
      <c r="F220" t="str">
        <f>_xlfn.XLOOKUP(Table6[[#This Row],[City]],Table9[city],Table9[admin_name])</f>
        <v>Hessen</v>
      </c>
    </row>
    <row r="221" spans="1:6" x14ac:dyDescent="0.55000000000000004">
      <c r="A221" s="2">
        <v>420</v>
      </c>
      <c r="B221" s="1" t="s">
        <v>224</v>
      </c>
      <c r="C221" s="2">
        <v>2</v>
      </c>
      <c r="D221" s="1">
        <v>53.869700000000002</v>
      </c>
      <c r="E221" s="1">
        <v>10.686400000000001</v>
      </c>
      <c r="F221" t="str">
        <f>_xlfn.XLOOKUP(Table6[[#This Row],[City]],Table9[city],Table9[admin_name])</f>
        <v>Schleswig-Holstein</v>
      </c>
    </row>
    <row r="222" spans="1:6" x14ac:dyDescent="0.55000000000000004">
      <c r="A222" s="2">
        <v>421</v>
      </c>
      <c r="B222" s="1" t="s">
        <v>225</v>
      </c>
      <c r="C222" s="2">
        <v>2</v>
      </c>
      <c r="D222" s="1">
        <v>52.216700000000003</v>
      </c>
      <c r="E222" s="1">
        <v>8.9332999999999991</v>
      </c>
      <c r="F222" t="str">
        <f>_xlfn.XLOOKUP(Table6[[#This Row],[City]],Table9[city],Table9[admin_name])</f>
        <v>Nordrhein-Westfalen</v>
      </c>
    </row>
    <row r="223" spans="1:6" x14ac:dyDescent="0.55000000000000004">
      <c r="A223" s="2">
        <v>422</v>
      </c>
      <c r="B223" s="1" t="s">
        <v>226</v>
      </c>
      <c r="C223" s="2">
        <v>2</v>
      </c>
      <c r="D223" s="1">
        <v>51.326500000000003</v>
      </c>
      <c r="E223" s="1">
        <v>7.3559000000000001</v>
      </c>
      <c r="F223" t="str">
        <f>_xlfn.XLOOKUP(Table6[[#This Row],[City]],Table9[city],Table9[admin_name])</f>
        <v>Nordrhein-Westfalen</v>
      </c>
    </row>
    <row r="224" spans="1:6" x14ac:dyDescent="0.55000000000000004">
      <c r="A224" s="2">
        <v>423</v>
      </c>
      <c r="B224" s="1" t="s">
        <v>227</v>
      </c>
      <c r="C224" s="2">
        <v>2</v>
      </c>
      <c r="D224" s="1">
        <v>51.383299999999998</v>
      </c>
      <c r="E224" s="1">
        <v>7.6666999999999996</v>
      </c>
      <c r="F224" t="str">
        <f>_xlfn.XLOOKUP(Table6[[#This Row],[City]],Table9[city],Table9[admin_name])</f>
        <v>Nordrhein-Westfalen</v>
      </c>
    </row>
    <row r="225" spans="1:6" x14ac:dyDescent="0.55000000000000004">
      <c r="A225" s="2">
        <v>424</v>
      </c>
      <c r="B225" s="1" t="s">
        <v>228</v>
      </c>
      <c r="C225" s="2">
        <v>2</v>
      </c>
      <c r="D225" s="1">
        <v>51.666699999999999</v>
      </c>
      <c r="E225" s="1">
        <v>7.8167</v>
      </c>
      <c r="F225" t="str">
        <f>_xlfn.XLOOKUP(Table6[[#This Row],[City]],Table9[city],Table9[admin_name])</f>
        <v>Nordrhein-Westfalen</v>
      </c>
    </row>
    <row r="226" spans="1:6" x14ac:dyDescent="0.55000000000000004">
      <c r="A226" s="2">
        <v>425</v>
      </c>
      <c r="B226" s="1" t="s">
        <v>229</v>
      </c>
      <c r="C226" s="2">
        <v>2</v>
      </c>
      <c r="D226" s="1">
        <v>50.95</v>
      </c>
      <c r="E226" s="1">
        <v>7.3</v>
      </c>
      <c r="F226" t="str">
        <f>_xlfn.XLOOKUP(Table6[[#This Row],[City]],Table9[city],Table9[admin_name])</f>
        <v>Nordrhein-Westfalen</v>
      </c>
    </row>
    <row r="227" spans="1:6" x14ac:dyDescent="0.55000000000000004">
      <c r="A227" s="2">
        <v>426</v>
      </c>
      <c r="B227" s="1" t="s">
        <v>230</v>
      </c>
      <c r="C227" s="2">
        <v>2</v>
      </c>
      <c r="D227" s="1">
        <v>51.833300000000001</v>
      </c>
      <c r="E227" s="1">
        <v>6.6166999999999998</v>
      </c>
      <c r="F227" t="str">
        <f>_xlfn.XLOOKUP(Table6[[#This Row],[City]],Table9[city],Table9[admin_name])</f>
        <v>Nordrhein-Westfalen</v>
      </c>
    </row>
    <row r="228" spans="1:6" x14ac:dyDescent="0.55000000000000004">
      <c r="A228" s="2">
        <v>427</v>
      </c>
      <c r="B228" s="1" t="s">
        <v>231</v>
      </c>
      <c r="C228" s="2">
        <v>2</v>
      </c>
      <c r="D228" s="1">
        <v>51.096400000000003</v>
      </c>
      <c r="E228" s="1">
        <v>6.84</v>
      </c>
      <c r="F228" t="str">
        <f>_xlfn.XLOOKUP(Table6[[#This Row],[City]],Table9[city],Table9[admin_name])</f>
        <v>Nordrhein-Westfalen</v>
      </c>
    </row>
    <row r="229" spans="1:6" x14ac:dyDescent="0.55000000000000004">
      <c r="A229" s="2">
        <v>428</v>
      </c>
      <c r="B229" s="1" t="s">
        <v>232</v>
      </c>
      <c r="C229" s="2">
        <v>2</v>
      </c>
      <c r="D229" s="1">
        <v>49.966900000000003</v>
      </c>
      <c r="E229" s="1">
        <v>7.8949999999999996</v>
      </c>
      <c r="F229" t="str">
        <f>_xlfn.XLOOKUP(Table6[[#This Row],[City]],Table9[city],Table9[admin_name])</f>
        <v>Rheinland-Pfalz</v>
      </c>
    </row>
    <row r="230" spans="1:6" x14ac:dyDescent="0.55000000000000004">
      <c r="A230" s="2">
        <v>429</v>
      </c>
      <c r="B230" s="1" t="s">
        <v>233</v>
      </c>
      <c r="C230" s="2">
        <v>2</v>
      </c>
      <c r="D230" s="1">
        <v>47.856099999999998</v>
      </c>
      <c r="E230" s="1">
        <v>12.1289</v>
      </c>
      <c r="F230" t="str">
        <f>_xlfn.XLOOKUP(Table6[[#This Row],[City]],Table9[city],Table9[admin_name])</f>
        <v>Bayern</v>
      </c>
    </row>
    <row r="231" spans="1:6" x14ac:dyDescent="0.55000000000000004">
      <c r="A231" s="2">
        <v>430</v>
      </c>
      <c r="B231" s="1" t="s">
        <v>234</v>
      </c>
      <c r="C231" s="2">
        <v>2</v>
      </c>
      <c r="D231" s="1">
        <v>52.4</v>
      </c>
      <c r="E231" s="1">
        <v>13.066700000000001</v>
      </c>
      <c r="F231" t="str">
        <f>_xlfn.XLOOKUP(Table6[[#This Row],[City]],Table9[city],Table9[admin_name])</f>
        <v>Brandenburg</v>
      </c>
    </row>
    <row r="232" spans="1:6" x14ac:dyDescent="0.55000000000000004">
      <c r="A232" s="2">
        <v>431</v>
      </c>
      <c r="B232" s="1" t="s">
        <v>235</v>
      </c>
      <c r="C232" s="2">
        <v>2</v>
      </c>
      <c r="D232" s="1">
        <v>53.25</v>
      </c>
      <c r="E232" s="1">
        <v>7.9166999999999996</v>
      </c>
      <c r="F232" t="str">
        <f>_xlfn.XLOOKUP(Table6[[#This Row],[City]],Table9[city],Table9[admin_name])</f>
        <v>Niedersachsen</v>
      </c>
    </row>
    <row r="233" spans="1:6" x14ac:dyDescent="0.55000000000000004">
      <c r="A233" s="2">
        <v>432</v>
      </c>
      <c r="B233" s="1" t="s">
        <v>236</v>
      </c>
      <c r="C233" s="2">
        <v>2</v>
      </c>
      <c r="D233" s="1">
        <v>47.783099999999997</v>
      </c>
      <c r="E233" s="1">
        <v>9.6113999999999997</v>
      </c>
      <c r="F233" t="str">
        <f>_xlfn.XLOOKUP(Table6[[#This Row],[City]],Table9[city],Table9[admin_name])</f>
        <v>Baden-Württemberg</v>
      </c>
    </row>
    <row r="234" spans="1:6" x14ac:dyDescent="0.55000000000000004">
      <c r="A234" s="2">
        <v>433</v>
      </c>
      <c r="B234" s="1" t="s">
        <v>237</v>
      </c>
      <c r="C234" s="2">
        <v>2</v>
      </c>
      <c r="D234" s="1">
        <v>53.924999999999997</v>
      </c>
      <c r="E234" s="1">
        <v>9.5164000000000009</v>
      </c>
      <c r="F234" t="str">
        <f>_xlfn.XLOOKUP(Table6[[#This Row],[City]],Table9[city],Table9[admin_name])</f>
        <v>Schleswig-Holstein</v>
      </c>
    </row>
    <row r="235" spans="1:6" x14ac:dyDescent="0.55000000000000004">
      <c r="A235" s="2">
        <v>434</v>
      </c>
      <c r="B235" s="1" t="s">
        <v>238</v>
      </c>
      <c r="C235" s="2">
        <v>2</v>
      </c>
      <c r="D235" s="1">
        <v>52.087499999999999</v>
      </c>
      <c r="E235" s="1">
        <v>8.7506000000000004</v>
      </c>
      <c r="F235" t="str">
        <f>_xlfn.XLOOKUP(Table6[[#This Row],[City]],Table9[city],Table9[admin_name])</f>
        <v>Nordrhein-Westfalen</v>
      </c>
    </row>
    <row r="236" spans="1:6" x14ac:dyDescent="0.55000000000000004">
      <c r="A236" s="2">
        <v>435</v>
      </c>
      <c r="B236" s="1" t="s">
        <v>239</v>
      </c>
      <c r="C236" s="2">
        <v>2</v>
      </c>
      <c r="D236" s="1">
        <v>49.556100000000001</v>
      </c>
      <c r="E236" s="1">
        <v>8.6697000000000006</v>
      </c>
      <c r="F236" t="str">
        <f>_xlfn.XLOOKUP(Table6[[#This Row],[City]],Table9[city],Table9[admin_name])</f>
        <v>Baden-Württemberg</v>
      </c>
    </row>
    <row r="237" spans="1:6" x14ac:dyDescent="0.55000000000000004">
      <c r="A237" s="2">
        <v>436</v>
      </c>
      <c r="B237" s="1" t="s">
        <v>240</v>
      </c>
      <c r="C237" s="2">
        <v>2</v>
      </c>
      <c r="D237" s="1">
        <v>48.666699999999999</v>
      </c>
      <c r="E237" s="1">
        <v>9.2166999999999994</v>
      </c>
      <c r="F237" t="str">
        <f>_xlfn.XLOOKUP(Table6[[#This Row],[City]],Table9[city],Table9[admin_name])</f>
        <v>Baden-Württemberg</v>
      </c>
    </row>
    <row r="238" spans="1:6" x14ac:dyDescent="0.55000000000000004">
      <c r="A238" s="2">
        <v>437</v>
      </c>
      <c r="B238" s="1" t="s">
        <v>241</v>
      </c>
      <c r="C238" s="2">
        <v>2</v>
      </c>
      <c r="D238" s="1">
        <v>49.948099999999997</v>
      </c>
      <c r="E238" s="1">
        <v>11.5783</v>
      </c>
      <c r="F238" t="str">
        <f>_xlfn.XLOOKUP(Table6[[#This Row],[City]],Table9[city],Table9[admin_name])</f>
        <v>Bayern</v>
      </c>
    </row>
    <row r="239" spans="1:6" x14ac:dyDescent="0.55000000000000004">
      <c r="A239" s="2">
        <v>438</v>
      </c>
      <c r="B239" s="1" t="s">
        <v>242</v>
      </c>
      <c r="C239" s="2">
        <v>2</v>
      </c>
      <c r="D239" s="1">
        <v>51.895800000000001</v>
      </c>
      <c r="E239" s="1">
        <v>11.0467</v>
      </c>
      <c r="F239" t="str">
        <f>_xlfn.XLOOKUP(Table6[[#This Row],[City]],Table9[city],Table9[admin_name])</f>
        <v>Sachsen-Anhalt</v>
      </c>
    </row>
    <row r="240" spans="1:6" x14ac:dyDescent="0.55000000000000004">
      <c r="A240" s="2">
        <v>439</v>
      </c>
      <c r="B240" s="1" t="s">
        <v>243</v>
      </c>
      <c r="C240" s="2">
        <v>2</v>
      </c>
      <c r="D240" s="1">
        <v>48.761899999999997</v>
      </c>
      <c r="E240" s="1">
        <v>8.2408000000000001</v>
      </c>
      <c r="F240" t="str">
        <f>_xlfn.XLOOKUP(Table6[[#This Row],[City]],Table9[city],Table9[admin_name])</f>
        <v>Baden-Württemberg</v>
      </c>
    </row>
    <row r="241" spans="1:6" x14ac:dyDescent="0.55000000000000004">
      <c r="A241" s="2">
        <v>440</v>
      </c>
      <c r="B241" s="1" t="s">
        <v>244</v>
      </c>
      <c r="C241" s="2">
        <v>2</v>
      </c>
      <c r="D241" s="1">
        <v>47.868299999999998</v>
      </c>
      <c r="E241" s="1">
        <v>12.6433</v>
      </c>
      <c r="F241" t="str">
        <f>_xlfn.XLOOKUP(Table6[[#This Row],[City]],Table9[city],Table9[admin_name])</f>
        <v>Bayern</v>
      </c>
    </row>
    <row r="242" spans="1:6" x14ac:dyDescent="0.55000000000000004">
      <c r="A242" s="2">
        <v>441</v>
      </c>
      <c r="B242" s="1" t="s">
        <v>245</v>
      </c>
      <c r="C242" s="2">
        <v>2</v>
      </c>
      <c r="D242" s="1">
        <v>49.319400000000002</v>
      </c>
      <c r="E242" s="1">
        <v>8.4311000000000007</v>
      </c>
      <c r="F242" t="str">
        <f>_xlfn.XLOOKUP(Table6[[#This Row],[City]],Table9[city],Table9[admin_name])</f>
        <v>Rheinland-Pfalz</v>
      </c>
    </row>
    <row r="243" spans="1:6" x14ac:dyDescent="0.55000000000000004">
      <c r="A243" s="2">
        <v>442</v>
      </c>
      <c r="B243" s="1" t="s">
        <v>246</v>
      </c>
      <c r="C243" s="2">
        <v>2</v>
      </c>
      <c r="D243" s="1">
        <v>53.438099999999999</v>
      </c>
      <c r="E243" s="1">
        <v>10.374700000000001</v>
      </c>
      <c r="F243" t="str">
        <f>_xlfn.XLOOKUP(Table6[[#This Row],[City]],Table9[city],Table9[admin_name])</f>
        <v>Schleswig-Holstein</v>
      </c>
    </row>
    <row r="244" spans="1:6" x14ac:dyDescent="0.55000000000000004">
      <c r="A244" s="2">
        <v>443</v>
      </c>
      <c r="B244" s="1" t="s">
        <v>247</v>
      </c>
      <c r="C244" s="2">
        <v>2</v>
      </c>
      <c r="D244" s="1">
        <v>51.2667</v>
      </c>
      <c r="E244" s="1">
        <v>6.6666999999999996</v>
      </c>
      <c r="F244" t="str">
        <f>_xlfn.XLOOKUP(Table6[[#This Row],[City]],Table9[city],Table9[admin_name])</f>
        <v>Nordrhein-Westfalen</v>
      </c>
    </row>
    <row r="245" spans="1:6" x14ac:dyDescent="0.55000000000000004">
      <c r="A245" s="2">
        <v>444</v>
      </c>
      <c r="B245" s="1" t="s">
        <v>248</v>
      </c>
      <c r="C245" s="2">
        <v>2</v>
      </c>
      <c r="D245" s="1">
        <v>49.249400000000001</v>
      </c>
      <c r="E245" s="1">
        <v>7.3608000000000002</v>
      </c>
      <c r="F245" t="str">
        <f>_xlfn.XLOOKUP(Table6[[#This Row],[City]],Table9[city],Table9[admin_name])</f>
        <v>Rheinland-Pfalz</v>
      </c>
    </row>
    <row r="246" spans="1:6" x14ac:dyDescent="0.55000000000000004">
      <c r="A246" s="2">
        <v>445</v>
      </c>
      <c r="B246" s="1" t="s">
        <v>249</v>
      </c>
      <c r="C246" s="2">
        <v>2</v>
      </c>
      <c r="D246" s="1">
        <v>51.152799999999999</v>
      </c>
      <c r="E246" s="1">
        <v>14.9872</v>
      </c>
      <c r="F246" t="str">
        <f>_xlfn.XLOOKUP(Table6[[#This Row],[City]],Table9[city],Table9[admin_name])</f>
        <v>Sachsen</v>
      </c>
    </row>
    <row r="247" spans="1:6" x14ac:dyDescent="0.55000000000000004">
      <c r="A247" s="2">
        <v>446</v>
      </c>
      <c r="B247" s="1" t="s">
        <v>250</v>
      </c>
      <c r="C247" s="2">
        <v>2</v>
      </c>
      <c r="D247" s="1">
        <v>54.323300000000003</v>
      </c>
      <c r="E247" s="1">
        <v>10.1394</v>
      </c>
      <c r="F247" t="str">
        <f>_xlfn.XLOOKUP(Table6[[#This Row],[City]],Table9[city],Table9[admin_name])</f>
        <v>Schleswig-Holstein</v>
      </c>
    </row>
    <row r="248" spans="1:6" x14ac:dyDescent="0.55000000000000004">
      <c r="A248" s="2">
        <v>447</v>
      </c>
      <c r="B248" s="1" t="s">
        <v>251</v>
      </c>
      <c r="C248" s="2">
        <v>2</v>
      </c>
      <c r="D248" s="1">
        <v>48.268900000000002</v>
      </c>
      <c r="E248" s="1">
        <v>10.8908</v>
      </c>
      <c r="F248" t="str">
        <f>_xlfn.XLOOKUP(Table6[[#This Row],[City]],Table9[city],Table9[admin_name])</f>
        <v>Bayern</v>
      </c>
    </row>
    <row r="249" spans="1:6" x14ac:dyDescent="0.55000000000000004">
      <c r="A249" s="2">
        <v>448</v>
      </c>
      <c r="B249" s="1" t="s">
        <v>252</v>
      </c>
      <c r="C249" s="2">
        <v>2</v>
      </c>
      <c r="D249" s="1">
        <v>50.018900000000002</v>
      </c>
      <c r="E249" s="1">
        <v>8.6960999999999995</v>
      </c>
      <c r="F249" t="str">
        <f>_xlfn.XLOOKUP(Table6[[#This Row],[City]],Table9[city],Table9[admin_name])</f>
        <v>Hessen</v>
      </c>
    </row>
    <row r="250" spans="1:6" x14ac:dyDescent="0.55000000000000004">
      <c r="A250" s="2">
        <v>449</v>
      </c>
      <c r="B250" s="1" t="s">
        <v>253</v>
      </c>
      <c r="C250" s="2">
        <v>2</v>
      </c>
      <c r="D250" s="1">
        <v>53.471400000000003</v>
      </c>
      <c r="E250" s="1">
        <v>7.4836</v>
      </c>
      <c r="F250" t="str">
        <f>_xlfn.XLOOKUP(Table6[[#This Row],[City]],Table9[city],Table9[admin_name])</f>
        <v>Niedersachsen</v>
      </c>
    </row>
    <row r="251" spans="1:6" x14ac:dyDescent="0.55000000000000004">
      <c r="A251" s="2">
        <v>450</v>
      </c>
      <c r="B251" s="1" t="s">
        <v>254</v>
      </c>
      <c r="C251" s="2">
        <v>2</v>
      </c>
      <c r="D251" s="1">
        <v>50.366700000000002</v>
      </c>
      <c r="E251" s="1">
        <v>8.75</v>
      </c>
      <c r="F251" t="str">
        <f>_xlfn.XLOOKUP(Table6[[#This Row],[City]],Table9[city],Table9[admin_name])</f>
        <v>Hessen</v>
      </c>
    </row>
    <row r="252" spans="1:6" x14ac:dyDescent="0.55000000000000004">
      <c r="A252" s="2">
        <v>451</v>
      </c>
      <c r="B252" s="1" t="s">
        <v>255</v>
      </c>
      <c r="C252" s="2">
        <v>2</v>
      </c>
      <c r="D252" s="1">
        <v>48.8</v>
      </c>
      <c r="E252" s="1">
        <v>9.5333000000000006</v>
      </c>
      <c r="F252" t="str">
        <f>_xlfn.XLOOKUP(Table6[[#This Row],[City]],Table9[city],Table9[admin_name])</f>
        <v>Baden-Württemberg</v>
      </c>
    </row>
    <row r="253" spans="1:6" x14ac:dyDescent="0.55000000000000004">
      <c r="A253" s="2">
        <v>452</v>
      </c>
      <c r="B253" s="1" t="s">
        <v>256</v>
      </c>
      <c r="C253" s="2">
        <v>2</v>
      </c>
      <c r="D253" s="1">
        <v>49.0167</v>
      </c>
      <c r="E253" s="1">
        <v>12.083299999999999</v>
      </c>
      <c r="F253" t="str">
        <f>_xlfn.XLOOKUP(Table6[[#This Row],[City]],Table9[city],Table9[admin_name])</f>
        <v>Bayern</v>
      </c>
    </row>
    <row r="254" spans="1:6" x14ac:dyDescent="0.55000000000000004">
      <c r="A254" s="2">
        <v>453</v>
      </c>
      <c r="B254" s="1" t="s">
        <v>257</v>
      </c>
      <c r="C254" s="2">
        <v>2</v>
      </c>
      <c r="D254" s="1">
        <v>54.476900000000001</v>
      </c>
      <c r="E254" s="1">
        <v>9.0510999999999999</v>
      </c>
      <c r="F254" t="str">
        <f>_xlfn.XLOOKUP(Table6[[#This Row],[City]],Table9[city],Table9[admin_name])</f>
        <v>Schleswig-Holstein</v>
      </c>
    </row>
    <row r="255" spans="1:6" x14ac:dyDescent="0.55000000000000004">
      <c r="A255" s="2">
        <v>454</v>
      </c>
      <c r="B255" s="1" t="s">
        <v>258</v>
      </c>
      <c r="C255" s="2">
        <v>2</v>
      </c>
      <c r="D255" s="1">
        <v>50.55</v>
      </c>
      <c r="E255" s="1">
        <v>10.416700000000001</v>
      </c>
      <c r="F255" t="str">
        <f>_xlfn.XLOOKUP(Table6[[#This Row],[City]],Table9[city],Table9[admin_name])</f>
        <v>Thüringen</v>
      </c>
    </row>
    <row r="256" spans="1:6" x14ac:dyDescent="0.55000000000000004">
      <c r="A256" s="2">
        <v>455</v>
      </c>
      <c r="B256" s="1" t="s">
        <v>259</v>
      </c>
      <c r="C256" s="2">
        <v>2</v>
      </c>
      <c r="D256" s="1">
        <v>48.713299999999997</v>
      </c>
      <c r="E256" s="1">
        <v>9.0028000000000006</v>
      </c>
      <c r="F256" t="str">
        <f>_xlfn.XLOOKUP(Table6[[#This Row],[City]],Table9[city],Table9[admin_name])</f>
        <v>Baden-Württemberg</v>
      </c>
    </row>
    <row r="257" spans="1:6" x14ac:dyDescent="0.55000000000000004">
      <c r="A257" s="2">
        <v>456</v>
      </c>
      <c r="B257" s="1" t="s">
        <v>260</v>
      </c>
      <c r="C257" s="2">
        <v>2</v>
      </c>
      <c r="D257" s="1">
        <v>51.533900000000003</v>
      </c>
      <c r="E257" s="1">
        <v>9.9356000000000009</v>
      </c>
      <c r="F257" t="str">
        <f>_xlfn.XLOOKUP(Table6[[#This Row],[City]],Table9[city],Table9[admin_name])</f>
        <v>Niedersachsen</v>
      </c>
    </row>
    <row r="258" spans="1:6" x14ac:dyDescent="0.55000000000000004">
      <c r="A258" s="2">
        <v>457</v>
      </c>
      <c r="B258" s="1" t="s">
        <v>261</v>
      </c>
      <c r="C258" s="2">
        <v>2</v>
      </c>
      <c r="D258" s="1">
        <v>51.469900000000003</v>
      </c>
      <c r="E258" s="1">
        <v>6.8513999999999999</v>
      </c>
      <c r="F258" t="str">
        <f>_xlfn.XLOOKUP(Table6[[#This Row],[City]],Table9[city],Table9[admin_name])</f>
        <v>Nordrhein-Westfalen</v>
      </c>
    </row>
    <row r="259" spans="1:6" x14ac:dyDescent="0.55000000000000004">
      <c r="A259" s="2">
        <v>458</v>
      </c>
      <c r="B259" s="1" t="s">
        <v>262</v>
      </c>
      <c r="C259" s="2">
        <v>2</v>
      </c>
      <c r="D259" s="1">
        <v>52.277799999999999</v>
      </c>
      <c r="E259" s="1">
        <v>7.7167000000000003</v>
      </c>
      <c r="F259" t="str">
        <f>_xlfn.XLOOKUP(Table6[[#This Row],[City]],Table9[city],Table9[admin_name])</f>
        <v>Nordrhein-Westfalen</v>
      </c>
    </row>
    <row r="260" spans="1:6" x14ac:dyDescent="0.55000000000000004">
      <c r="A260" s="2">
        <v>459</v>
      </c>
      <c r="B260" s="1" t="s">
        <v>263</v>
      </c>
      <c r="C260" s="2">
        <v>2</v>
      </c>
      <c r="D260" s="1">
        <v>53.811700000000002</v>
      </c>
      <c r="E260" s="1">
        <v>10.3742</v>
      </c>
      <c r="F260" t="str">
        <f>_xlfn.XLOOKUP(Table6[[#This Row],[City]],Table9[city],Table9[admin_name])</f>
        <v>Schleswig-Holstein</v>
      </c>
    </row>
    <row r="261" spans="1:6" x14ac:dyDescent="0.55000000000000004">
      <c r="A261" s="2">
        <v>460</v>
      </c>
      <c r="B261" s="1" t="s">
        <v>264</v>
      </c>
      <c r="C261" s="2">
        <v>2</v>
      </c>
      <c r="D261" s="1">
        <v>48.877200000000002</v>
      </c>
      <c r="E261" s="1">
        <v>12.575799999999999</v>
      </c>
      <c r="F261" t="str">
        <f>_xlfn.XLOOKUP(Table6[[#This Row],[City]],Table9[city],Table9[admin_name])</f>
        <v>Bayern</v>
      </c>
    </row>
    <row r="262" spans="1:6" x14ac:dyDescent="0.55000000000000004">
      <c r="A262" s="2">
        <v>461</v>
      </c>
      <c r="B262" s="1" t="s">
        <v>265</v>
      </c>
      <c r="C262" s="2">
        <v>2</v>
      </c>
      <c r="D262" s="1">
        <v>49.0167</v>
      </c>
      <c r="E262" s="1">
        <v>8.4</v>
      </c>
      <c r="F262" t="str">
        <f>_xlfn.XLOOKUP(Table6[[#This Row],[City]],Table9[city],Table9[admin_name])</f>
        <v>Baden-Württemberg</v>
      </c>
    </row>
    <row r="263" spans="1:6" x14ac:dyDescent="0.55000000000000004">
      <c r="A263" s="2">
        <v>462</v>
      </c>
      <c r="B263" s="1" t="s">
        <v>266</v>
      </c>
      <c r="C263" s="2">
        <v>2</v>
      </c>
      <c r="D263" s="1">
        <v>51.8</v>
      </c>
      <c r="E263" s="1">
        <v>8.4332999999999991</v>
      </c>
      <c r="F263" t="str">
        <f>_xlfn.XLOOKUP(Table6[[#This Row],[City]],Table9[city],Table9[admin_name])</f>
        <v>Nordrhein-Westfalen</v>
      </c>
    </row>
    <row r="264" spans="1:6" x14ac:dyDescent="0.55000000000000004">
      <c r="A264" s="2">
        <v>463</v>
      </c>
      <c r="B264" s="1" t="s">
        <v>267</v>
      </c>
      <c r="C264" s="2">
        <v>2</v>
      </c>
      <c r="D264" s="1">
        <v>51.905999999999999</v>
      </c>
      <c r="E264" s="1">
        <v>10.4292</v>
      </c>
      <c r="F264" t="str">
        <f>_xlfn.XLOOKUP(Table6[[#This Row],[City]],Table9[city],Table9[admin_name])</f>
        <v>Niedersachsen</v>
      </c>
    </row>
    <row r="265" spans="1:6" x14ac:dyDescent="0.55000000000000004">
      <c r="A265" s="2">
        <v>464</v>
      </c>
      <c r="B265" s="1" t="s">
        <v>268</v>
      </c>
      <c r="C265" s="2">
        <v>2</v>
      </c>
      <c r="D265" s="1">
        <v>49.35</v>
      </c>
      <c r="E265" s="1">
        <v>9.1333000000000002</v>
      </c>
      <c r="F265" t="str">
        <f>_xlfn.XLOOKUP(Table6[[#This Row],[City]],Table9[city],Table9[admin_name])</f>
        <v>Baden-Württemberg</v>
      </c>
    </row>
    <row r="266" spans="1:6" x14ac:dyDescent="0.55000000000000004">
      <c r="A266" s="2">
        <v>465</v>
      </c>
      <c r="B266" s="1" t="s">
        <v>269</v>
      </c>
      <c r="C266" s="2">
        <v>2</v>
      </c>
      <c r="D266" s="1">
        <v>48.533299999999997</v>
      </c>
      <c r="E266" s="1">
        <v>11.5167</v>
      </c>
      <c r="F266" t="str">
        <f>_xlfn.XLOOKUP(Table6[[#This Row],[City]],Table9[city],Table9[admin_name])</f>
        <v>Bayern</v>
      </c>
    </row>
    <row r="267" spans="1:6" x14ac:dyDescent="0.55000000000000004">
      <c r="A267" s="2">
        <v>466</v>
      </c>
      <c r="B267" s="1" t="s">
        <v>270</v>
      </c>
      <c r="C267" s="2">
        <v>2</v>
      </c>
      <c r="D267" s="1">
        <v>54.304400000000001</v>
      </c>
      <c r="E267" s="1">
        <v>9.6644000000000005</v>
      </c>
      <c r="F267" t="str">
        <f>_xlfn.XLOOKUP(Table6[[#This Row],[City]],Table9[city],Table9[admin_name])</f>
        <v>Schleswig-Holstein</v>
      </c>
    </row>
    <row r="268" spans="1:6" x14ac:dyDescent="0.55000000000000004">
      <c r="A268" s="2">
        <v>467</v>
      </c>
      <c r="B268" s="1" t="s">
        <v>271</v>
      </c>
      <c r="C268" s="2">
        <v>2</v>
      </c>
      <c r="D268" s="1">
        <v>51.063099999999999</v>
      </c>
      <c r="E268" s="1">
        <v>6.0964</v>
      </c>
      <c r="F268" t="str">
        <f>_xlfn.XLOOKUP(Table6[[#This Row],[City]],Table9[city],Table9[admin_name])</f>
        <v>Nordrhein-Westfalen</v>
      </c>
    </row>
    <row r="269" spans="1:6" x14ac:dyDescent="0.55000000000000004">
      <c r="A269" s="2">
        <v>468</v>
      </c>
      <c r="B269" s="1" t="s">
        <v>272</v>
      </c>
      <c r="C269" s="2">
        <v>2</v>
      </c>
      <c r="D269" s="1">
        <v>51.315800000000003</v>
      </c>
      <c r="E269" s="1">
        <v>9.4978999999999996</v>
      </c>
      <c r="F269" t="str">
        <f>_xlfn.XLOOKUP(Table6[[#This Row],[City]],Table9[city],Table9[admin_name])</f>
        <v>Hessen</v>
      </c>
    </row>
    <row r="270" spans="1:6" x14ac:dyDescent="0.55000000000000004">
      <c r="A270" s="2">
        <v>469</v>
      </c>
      <c r="B270" s="1" t="s">
        <v>273</v>
      </c>
      <c r="C270" s="2">
        <v>2</v>
      </c>
      <c r="D270" s="1">
        <v>48.566699999999997</v>
      </c>
      <c r="E270" s="1">
        <v>10.466699999999999</v>
      </c>
      <c r="F270" t="str">
        <f>_xlfn.XLOOKUP(Table6[[#This Row],[City]],Table9[city],Table9[admin_name])</f>
        <v>Bayern</v>
      </c>
    </row>
    <row r="271" spans="1:6" x14ac:dyDescent="0.55000000000000004">
      <c r="A271" s="2">
        <v>470</v>
      </c>
      <c r="B271" s="1" t="s">
        <v>274</v>
      </c>
      <c r="C271" s="2">
        <v>2</v>
      </c>
      <c r="D271" s="1">
        <v>51.2</v>
      </c>
      <c r="E271" s="1">
        <v>11.966699999999999</v>
      </c>
      <c r="F271" t="str">
        <f>_xlfn.XLOOKUP(Table6[[#This Row],[City]],Table9[city],Table9[admin_name])</f>
        <v>Sachsen-Anhalt</v>
      </c>
    </row>
    <row r="272" spans="1:6" x14ac:dyDescent="0.55000000000000004">
      <c r="A272" s="2">
        <v>471</v>
      </c>
      <c r="B272" s="1" t="s">
        <v>275</v>
      </c>
      <c r="C272" s="2">
        <v>2</v>
      </c>
      <c r="D272" s="1">
        <v>51.255600000000001</v>
      </c>
      <c r="E272" s="1">
        <v>6.3917000000000002</v>
      </c>
      <c r="F272" t="str">
        <f>_xlfn.XLOOKUP(Table6[[#This Row],[City]],Table9[city],Table9[admin_name])</f>
        <v>Nordrhein-Westfalen</v>
      </c>
    </row>
    <row r="273" spans="1:6" x14ac:dyDescent="0.55000000000000004">
      <c r="A273" s="2">
        <v>472</v>
      </c>
      <c r="B273" s="1" t="s">
        <v>276</v>
      </c>
      <c r="C273" s="2">
        <v>2</v>
      </c>
      <c r="D273" s="1">
        <v>52.833100000000002</v>
      </c>
      <c r="E273" s="1">
        <v>13.8331</v>
      </c>
      <c r="F273" t="str">
        <f>_xlfn.XLOOKUP(Table6[[#This Row],[City]],Table9[city],Table9[admin_name])</f>
        <v>Brandenburg</v>
      </c>
    </row>
    <row r="274" spans="1:6" x14ac:dyDescent="0.55000000000000004">
      <c r="A274" s="2">
        <v>473</v>
      </c>
      <c r="B274" s="1" t="s">
        <v>277</v>
      </c>
      <c r="C274" s="2">
        <v>2</v>
      </c>
      <c r="D274" s="1">
        <v>52.6</v>
      </c>
      <c r="E274" s="1">
        <v>11.85</v>
      </c>
      <c r="F274" t="str">
        <f>_xlfn.XLOOKUP(Table6[[#This Row],[City]],Table9[city],Table9[admin_name])</f>
        <v>Sachsen-Anhalt</v>
      </c>
    </row>
    <row r="275" spans="1:6" x14ac:dyDescent="0.55000000000000004">
      <c r="A275" s="2">
        <v>474</v>
      </c>
      <c r="B275" s="1" t="s">
        <v>278</v>
      </c>
      <c r="C275" s="2">
        <v>2</v>
      </c>
      <c r="D275" s="1">
        <v>49.323599999999999</v>
      </c>
      <c r="E275" s="1">
        <v>12.099299999999999</v>
      </c>
      <c r="F275" t="str">
        <f>_xlfn.XLOOKUP(Table6[[#This Row],[City]],Table9[city],Table9[admin_name])</f>
        <v>Bayern</v>
      </c>
    </row>
    <row r="276" spans="1:6" x14ac:dyDescent="0.55000000000000004">
      <c r="A276" s="2">
        <v>475</v>
      </c>
      <c r="B276" s="1" t="s">
        <v>279</v>
      </c>
      <c r="C276" s="2">
        <v>2</v>
      </c>
      <c r="D276" s="1">
        <v>49.859400000000001</v>
      </c>
      <c r="E276" s="1">
        <v>8.5525000000000002</v>
      </c>
      <c r="F276" t="str">
        <f>_xlfn.XLOOKUP(Table6[[#This Row],[City]],Table9[city],Table9[admin_name])</f>
        <v>Hessen</v>
      </c>
    </row>
    <row r="277" spans="1:6" x14ac:dyDescent="0.55000000000000004">
      <c r="A277" s="2">
        <v>476</v>
      </c>
      <c r="B277" s="1" t="s">
        <v>280</v>
      </c>
      <c r="C277" s="2">
        <v>2</v>
      </c>
      <c r="D277" s="1">
        <v>48.763599999999997</v>
      </c>
      <c r="E277" s="1">
        <v>11.4261</v>
      </c>
      <c r="F277" t="str">
        <f>_xlfn.XLOOKUP(Table6[[#This Row],[City]],Table9[city],Table9[admin_name])</f>
        <v>Bayern</v>
      </c>
    </row>
    <row r="278" spans="1:6" x14ac:dyDescent="0.55000000000000004">
      <c r="A278" s="2">
        <v>477</v>
      </c>
      <c r="B278" s="1" t="s">
        <v>281</v>
      </c>
      <c r="C278" s="2">
        <v>2</v>
      </c>
      <c r="D278" s="1">
        <v>48.398400000000002</v>
      </c>
      <c r="E278" s="1">
        <v>9.9916</v>
      </c>
      <c r="F278" t="str">
        <f>_xlfn.XLOOKUP(Table6[[#This Row],[City]],Table9[city],Table9[admin_name])</f>
        <v>Baden-Württemberg</v>
      </c>
    </row>
    <row r="279" spans="1:6" x14ac:dyDescent="0.55000000000000004">
      <c r="A279" s="2">
        <v>478</v>
      </c>
      <c r="B279" s="1" t="s">
        <v>282</v>
      </c>
      <c r="C279" s="2">
        <v>2</v>
      </c>
      <c r="D279" s="1">
        <v>50.143500000000003</v>
      </c>
      <c r="E279" s="1">
        <v>8.1606000000000005</v>
      </c>
      <c r="F279" t="str">
        <f>_xlfn.XLOOKUP(Table6[[#This Row],[City]],Table9[city],Table9[admin_name])</f>
        <v>Hessen</v>
      </c>
    </row>
    <row r="280" spans="1:6" x14ac:dyDescent="0.55000000000000004">
      <c r="A280" s="2">
        <v>479</v>
      </c>
      <c r="B280" s="1" t="s">
        <v>283</v>
      </c>
      <c r="C280" s="2">
        <v>2</v>
      </c>
      <c r="D280" s="1">
        <v>49.974699999999999</v>
      </c>
      <c r="E280" s="1">
        <v>8.0564</v>
      </c>
      <c r="F280" t="str">
        <f>_xlfn.XLOOKUP(Table6[[#This Row],[City]],Table9[city],Table9[admin_name])</f>
        <v>Rheinland-Pfalz</v>
      </c>
    </row>
    <row r="281" spans="1:6" x14ac:dyDescent="0.55000000000000004">
      <c r="A281" s="2">
        <v>480</v>
      </c>
      <c r="B281" s="1" t="s">
        <v>284</v>
      </c>
      <c r="C281" s="2">
        <v>2</v>
      </c>
      <c r="D281" s="1">
        <v>48.260300000000001</v>
      </c>
      <c r="E281" s="1">
        <v>11.434200000000001</v>
      </c>
      <c r="F281" t="str">
        <f>_xlfn.XLOOKUP(Table6[[#This Row],[City]],Table9[city],Table9[admin_name])</f>
        <v>Bayern</v>
      </c>
    </row>
    <row r="282" spans="1:6" x14ac:dyDescent="0.55000000000000004">
      <c r="A282" s="2">
        <v>481</v>
      </c>
      <c r="B282" s="1" t="s">
        <v>285</v>
      </c>
      <c r="C282" s="2">
        <v>2</v>
      </c>
      <c r="D282" s="1">
        <v>50.833300000000001</v>
      </c>
      <c r="E282" s="1">
        <v>6.9</v>
      </c>
      <c r="F282" t="str">
        <f>_xlfn.XLOOKUP(Table6[[#This Row],[City]],Table9[city],Table9[admin_name])</f>
        <v>Nordrhein-Westfalen</v>
      </c>
    </row>
    <row r="283" spans="1:6" x14ac:dyDescent="0.55000000000000004">
      <c r="A283" s="2">
        <v>482</v>
      </c>
      <c r="B283" s="1" t="s">
        <v>286</v>
      </c>
      <c r="C283" s="2">
        <v>2</v>
      </c>
      <c r="D283" s="1">
        <v>51.79</v>
      </c>
      <c r="E283" s="1">
        <v>6.14</v>
      </c>
      <c r="F283" t="str">
        <f>_xlfn.XLOOKUP(Table6[[#This Row],[City]],Table9[city],Table9[admin_name])</f>
        <v>Nordrhein-Westfalen</v>
      </c>
    </row>
    <row r="284" spans="1:6" x14ac:dyDescent="0.55000000000000004">
      <c r="A284" s="2">
        <v>483</v>
      </c>
      <c r="B284" s="1" t="s">
        <v>287</v>
      </c>
      <c r="C284" s="2">
        <v>2</v>
      </c>
      <c r="D284" s="1">
        <v>49.316699999999997</v>
      </c>
      <c r="E284" s="1">
        <v>6.75</v>
      </c>
      <c r="F284" t="str">
        <f>_xlfn.XLOOKUP(Table6[[#This Row],[City]],Table9[city],Table9[admin_name])</f>
        <v>Saarland</v>
      </c>
    </row>
    <row r="285" spans="1:6" x14ac:dyDescent="0.55000000000000004">
      <c r="A285" s="2">
        <v>484</v>
      </c>
      <c r="B285" s="1" t="s">
        <v>288</v>
      </c>
      <c r="C285" s="2">
        <v>2</v>
      </c>
      <c r="D285" s="1">
        <v>49.537999999999997</v>
      </c>
      <c r="E285" s="1">
        <v>8.5792000000000002</v>
      </c>
      <c r="F285" t="str">
        <f>_xlfn.XLOOKUP(Table6[[#This Row],[City]],Table9[city],Table9[admin_name])</f>
        <v>Hessen</v>
      </c>
    </row>
    <row r="286" spans="1:6" x14ac:dyDescent="0.55000000000000004">
      <c r="A286" s="2">
        <v>485</v>
      </c>
      <c r="B286" s="1" t="s">
        <v>289</v>
      </c>
      <c r="C286" s="2">
        <v>2</v>
      </c>
      <c r="D286" s="1">
        <v>51.133299999999998</v>
      </c>
      <c r="E286" s="1">
        <v>6.2667000000000002</v>
      </c>
      <c r="F286" t="str">
        <f>_xlfn.XLOOKUP(Table6[[#This Row],[City]],Table9[city],Table9[admin_name])</f>
        <v>Nordrhein-Westfalen</v>
      </c>
    </row>
    <row r="287" spans="1:6" x14ac:dyDescent="0.55000000000000004">
      <c r="A287" s="2">
        <v>486</v>
      </c>
      <c r="B287" s="1" t="s">
        <v>290</v>
      </c>
      <c r="C287" s="2">
        <v>2</v>
      </c>
      <c r="D287" s="1">
        <v>51.763300000000001</v>
      </c>
      <c r="E287" s="1">
        <v>7.8910999999999998</v>
      </c>
      <c r="F287" t="str">
        <f>_xlfn.XLOOKUP(Table6[[#This Row],[City]],Table9[city],Table9[admin_name])</f>
        <v>Nordrhein-Westfalen</v>
      </c>
    </row>
    <row r="288" spans="1:6" x14ac:dyDescent="0.55000000000000004">
      <c r="A288" s="2">
        <v>487</v>
      </c>
      <c r="B288" s="1" t="s">
        <v>291</v>
      </c>
      <c r="C288" s="2">
        <v>2</v>
      </c>
      <c r="D288" s="1">
        <v>52.45</v>
      </c>
      <c r="E288" s="1">
        <v>10.0083</v>
      </c>
      <c r="F288" t="str">
        <f>_xlfn.XLOOKUP(Table6[[#This Row],[City]],Table9[city],Table9[admin_name])</f>
        <v>Niedersachsen</v>
      </c>
    </row>
    <row r="289" spans="1:6" x14ac:dyDescent="0.55000000000000004">
      <c r="A289" s="2">
        <v>488</v>
      </c>
      <c r="B289" s="1" t="s">
        <v>292</v>
      </c>
      <c r="C289" s="2">
        <v>2</v>
      </c>
      <c r="D289" s="1">
        <v>52.558300000000003</v>
      </c>
      <c r="E289" s="1">
        <v>13.091699999999999</v>
      </c>
      <c r="F289" t="str">
        <f>_xlfn.XLOOKUP(Table6[[#This Row],[City]],Table9[city],Table9[admin_name])</f>
        <v>Brandenburg</v>
      </c>
    </row>
    <row r="290" spans="1:6" x14ac:dyDescent="0.55000000000000004">
      <c r="A290" s="2">
        <v>489</v>
      </c>
      <c r="B290" s="1" t="s">
        <v>293</v>
      </c>
      <c r="C290" s="2">
        <v>2</v>
      </c>
      <c r="D290" s="1">
        <v>51.033299999999997</v>
      </c>
      <c r="E290" s="1">
        <v>6.9832999999999998</v>
      </c>
      <c r="F290" t="str">
        <f>_xlfn.XLOOKUP(Table6[[#This Row],[City]],Table9[city],Table9[admin_name])</f>
        <v>Nordrhein-Westfalen</v>
      </c>
    </row>
    <row r="291" spans="1:6" x14ac:dyDescent="0.55000000000000004">
      <c r="A291" s="2">
        <v>490</v>
      </c>
      <c r="B291" s="1" t="s">
        <v>294</v>
      </c>
      <c r="C291" s="2">
        <v>2</v>
      </c>
      <c r="D291" s="1">
        <v>49.719700000000003</v>
      </c>
      <c r="E291" s="1">
        <v>11.0581</v>
      </c>
      <c r="F291" t="str">
        <f>_xlfn.XLOOKUP(Table6[[#This Row],[City]],Table9[city],Table9[admin_name])</f>
        <v>Bayern</v>
      </c>
    </row>
    <row r="292" spans="1:6" x14ac:dyDescent="0.55000000000000004">
      <c r="A292" s="2">
        <v>491</v>
      </c>
      <c r="B292" s="1" t="s">
        <v>295</v>
      </c>
      <c r="C292" s="2">
        <v>2</v>
      </c>
      <c r="D292" s="1">
        <v>51.571300000000001</v>
      </c>
      <c r="E292" s="1">
        <v>6.9827000000000004</v>
      </c>
      <c r="F292" t="str">
        <f>_xlfn.XLOOKUP(Table6[[#This Row],[City]],Table9[city],Table9[admin_name])</f>
        <v>Nordrhein-Westfalen</v>
      </c>
    </row>
    <row r="293" spans="1:6" x14ac:dyDescent="0.55000000000000004">
      <c r="A293" s="2">
        <v>492</v>
      </c>
      <c r="B293" s="1" t="s">
        <v>296</v>
      </c>
      <c r="C293" s="2">
        <v>2</v>
      </c>
      <c r="D293" s="1">
        <v>50.927199999999999</v>
      </c>
      <c r="E293" s="1">
        <v>11.586399999999999</v>
      </c>
      <c r="F293" t="str">
        <f>_xlfn.XLOOKUP(Table6[[#This Row],[City]],Table9[city],Table9[admin_name])</f>
        <v>Thüringen</v>
      </c>
    </row>
    <row r="294" spans="1:6" x14ac:dyDescent="0.55000000000000004">
      <c r="A294" s="2">
        <v>493</v>
      </c>
      <c r="B294" s="1" t="s">
        <v>297</v>
      </c>
      <c r="C294" s="2">
        <v>2</v>
      </c>
      <c r="D294" s="1">
        <v>52.366700000000002</v>
      </c>
      <c r="E294" s="1">
        <v>14.066700000000001</v>
      </c>
      <c r="F294" t="str">
        <f>_xlfn.XLOOKUP(Table6[[#This Row],[City]],Table9[city],Table9[admin_name])</f>
        <v>Brandenburg</v>
      </c>
    </row>
    <row r="295" spans="1:6" x14ac:dyDescent="0.55000000000000004">
      <c r="A295" s="2">
        <v>494</v>
      </c>
      <c r="B295" s="1" t="s">
        <v>298</v>
      </c>
      <c r="C295" s="2">
        <v>2</v>
      </c>
      <c r="D295" s="1">
        <v>50.9</v>
      </c>
      <c r="E295" s="1">
        <v>7.1833</v>
      </c>
      <c r="F295" t="str">
        <f>_xlfn.XLOOKUP(Table6[[#This Row],[City]],Table9[city],Table9[admin_name])</f>
        <v>Nordrhein-Westfalen</v>
      </c>
    </row>
    <row r="296" spans="1:6" x14ac:dyDescent="0.55000000000000004">
      <c r="A296" s="2">
        <v>495</v>
      </c>
      <c r="B296" s="1" t="s">
        <v>299</v>
      </c>
      <c r="C296" s="2">
        <v>2</v>
      </c>
      <c r="D296" s="1">
        <v>47.736899999999999</v>
      </c>
      <c r="E296" s="1">
        <v>8.9696999999999996</v>
      </c>
      <c r="F296" t="str">
        <f>_xlfn.XLOOKUP(Table6[[#This Row],[City]],Table9[city],Table9[admin_name])</f>
        <v>Baden-Württemberg</v>
      </c>
    </row>
    <row r="297" spans="1:6" x14ac:dyDescent="0.55000000000000004">
      <c r="A297" s="2">
        <v>496</v>
      </c>
      <c r="B297" s="1" t="s">
        <v>300</v>
      </c>
      <c r="C297" s="2">
        <v>2</v>
      </c>
      <c r="D297" s="1">
        <v>49.989600000000003</v>
      </c>
      <c r="E297" s="1">
        <v>8.5661000000000005</v>
      </c>
      <c r="F297" t="str">
        <f>_xlfn.XLOOKUP(Table6[[#This Row],[City]],Table9[city],Table9[admin_name])</f>
        <v>Hessen</v>
      </c>
    </row>
    <row r="298" spans="1:6" x14ac:dyDescent="0.55000000000000004">
      <c r="A298" s="2">
        <v>497</v>
      </c>
      <c r="B298" s="1" t="s">
        <v>301</v>
      </c>
      <c r="C298" s="2">
        <v>2</v>
      </c>
      <c r="D298" s="1">
        <v>53.674700000000001</v>
      </c>
      <c r="E298" s="1">
        <v>10.241099999999999</v>
      </c>
      <c r="F298" t="str">
        <f>_xlfn.XLOOKUP(Table6[[#This Row],[City]],Table9[city],Table9[admin_name])</f>
        <v>Schleswig-Holstein</v>
      </c>
    </row>
    <row r="299" spans="1:6" x14ac:dyDescent="0.55000000000000004">
      <c r="A299" s="2">
        <v>498</v>
      </c>
      <c r="B299" s="1" t="s">
        <v>302</v>
      </c>
      <c r="C299" s="2">
        <v>2</v>
      </c>
      <c r="D299" s="1">
        <v>51.3992</v>
      </c>
      <c r="E299" s="1">
        <v>7.1858000000000004</v>
      </c>
      <c r="F299" t="str">
        <f>_xlfn.XLOOKUP(Table6[[#This Row],[City]],Table9[city],Table9[admin_name])</f>
        <v>Nordrhein-Westfalen</v>
      </c>
    </row>
    <row r="300" spans="1:6" x14ac:dyDescent="0.55000000000000004">
      <c r="A300" s="2">
        <v>499</v>
      </c>
      <c r="B300" s="1" t="s">
        <v>303</v>
      </c>
      <c r="C300" s="2">
        <v>2</v>
      </c>
      <c r="D300" s="1">
        <v>51.7286</v>
      </c>
      <c r="E300" s="1">
        <v>10.2522</v>
      </c>
      <c r="F300" t="str">
        <f>_xlfn.XLOOKUP(Table6[[#This Row],[City]],Table9[city],Table9[admin_name])</f>
        <v>Niedersachsen</v>
      </c>
    </row>
    <row r="301" spans="1:6" x14ac:dyDescent="0.55000000000000004">
      <c r="A301" s="2">
        <v>500</v>
      </c>
      <c r="B301" s="1" t="s">
        <v>304</v>
      </c>
      <c r="C301" s="2">
        <v>2</v>
      </c>
      <c r="D301" s="1">
        <v>48.718400000000003</v>
      </c>
      <c r="E301" s="1">
        <v>10.776999999999999</v>
      </c>
      <c r="F301" t="str">
        <f>_xlfn.XLOOKUP(Table6[[#This Row],[City]],Table9[city],Table9[admin_name])</f>
        <v>Bayern</v>
      </c>
    </row>
    <row r="302" spans="1:6" x14ac:dyDescent="0.55000000000000004">
      <c r="A302" s="2">
        <v>501</v>
      </c>
      <c r="B302" s="1" t="s">
        <v>305</v>
      </c>
      <c r="C302" s="2">
        <v>2</v>
      </c>
      <c r="D302" s="1">
        <v>49.134700000000002</v>
      </c>
      <c r="E302" s="1">
        <v>10.070600000000001</v>
      </c>
      <c r="F302" t="str">
        <f>_xlfn.XLOOKUP(Table6[[#This Row],[City]],Table9[city],Table9[admin_name])</f>
        <v>Baden-Württemberg</v>
      </c>
    </row>
    <row r="303" spans="1:6" x14ac:dyDescent="0.55000000000000004">
      <c r="A303" s="2">
        <v>502</v>
      </c>
      <c r="B303" s="1" t="s">
        <v>306</v>
      </c>
      <c r="C303" s="2">
        <v>2</v>
      </c>
      <c r="D303" s="1">
        <v>51.7333</v>
      </c>
      <c r="E303" s="1">
        <v>14.6333</v>
      </c>
      <c r="F303" t="str">
        <f>_xlfn.XLOOKUP(Table6[[#This Row],[City]],Table9[city],Table9[admin_name])</f>
        <v>Brandenburg</v>
      </c>
    </row>
    <row r="304" spans="1:6" x14ac:dyDescent="0.55000000000000004">
      <c r="A304" s="2">
        <v>503</v>
      </c>
      <c r="B304" s="1" t="s">
        <v>307</v>
      </c>
      <c r="C304" s="2">
        <v>2</v>
      </c>
      <c r="D304" s="1">
        <v>50.77</v>
      </c>
      <c r="E304" s="1">
        <v>7.1867000000000001</v>
      </c>
      <c r="F304" t="str">
        <f>_xlfn.XLOOKUP(Table6[[#This Row],[City]],Table9[city],Table9[admin_name])</f>
        <v>Nordrhein-Westfalen</v>
      </c>
    </row>
    <row r="305" spans="1:6" x14ac:dyDescent="0.55000000000000004">
      <c r="A305" s="2">
        <v>504</v>
      </c>
      <c r="B305" s="1" t="s">
        <v>308</v>
      </c>
      <c r="C305" s="2">
        <v>2</v>
      </c>
      <c r="D305" s="1">
        <v>50.7667</v>
      </c>
      <c r="E305" s="1">
        <v>6.2332999999999998</v>
      </c>
      <c r="F305" t="str">
        <f>_xlfn.XLOOKUP(Table6[[#This Row],[City]],Table9[city],Table9[admin_name])</f>
        <v>Nordrhein-Westfalen</v>
      </c>
    </row>
    <row r="306" spans="1:6" x14ac:dyDescent="0.55000000000000004">
      <c r="A306" s="2">
        <v>505</v>
      </c>
      <c r="B306" s="1" t="s">
        <v>309</v>
      </c>
      <c r="C306" s="2">
        <v>2</v>
      </c>
      <c r="D306" s="1">
        <v>52.690600000000003</v>
      </c>
      <c r="E306" s="1">
        <v>7.2910000000000004</v>
      </c>
      <c r="F306" t="str">
        <f>_xlfn.XLOOKUP(Table6[[#This Row],[City]],Table9[city],Table9[admin_name])</f>
        <v>Niedersachsen</v>
      </c>
    </row>
    <row r="307" spans="1:6" x14ac:dyDescent="0.55000000000000004">
      <c r="A307" s="2">
        <v>506</v>
      </c>
      <c r="B307" s="1" t="s">
        <v>310</v>
      </c>
      <c r="C307" s="2">
        <v>2</v>
      </c>
      <c r="D307" s="1">
        <v>51.383299999999998</v>
      </c>
      <c r="E307" s="1">
        <v>7.7667000000000002</v>
      </c>
      <c r="F307" t="str">
        <f>_xlfn.XLOOKUP(Table6[[#This Row],[City]],Table9[city],Table9[admin_name])</f>
        <v>Nordrhein-Westfalen</v>
      </c>
    </row>
    <row r="308" spans="1:6" x14ac:dyDescent="0.55000000000000004">
      <c r="A308" s="2">
        <v>507</v>
      </c>
      <c r="B308" s="1" t="s">
        <v>311</v>
      </c>
      <c r="C308" s="2">
        <v>2</v>
      </c>
      <c r="D308" s="1">
        <v>51.6586</v>
      </c>
      <c r="E308" s="1">
        <v>6.6177999999999999</v>
      </c>
      <c r="F308" t="str">
        <f>_xlfn.XLOOKUP(Table6[[#This Row],[City]],Table9[city],Table9[admin_name])</f>
        <v>Nordrhein-Westfalen</v>
      </c>
    </row>
    <row r="309" spans="1:6" x14ac:dyDescent="0.55000000000000004">
      <c r="A309" s="2">
        <v>508</v>
      </c>
      <c r="B309" s="1" t="s">
        <v>312</v>
      </c>
      <c r="C309" s="2">
        <v>2</v>
      </c>
      <c r="D309" s="1">
        <v>50.984999999999999</v>
      </c>
      <c r="E309" s="1">
        <v>12.433299999999999</v>
      </c>
      <c r="F309" t="str">
        <f>_xlfn.XLOOKUP(Table6[[#This Row],[City]],Table9[city],Table9[admin_name])</f>
        <v>Thüringen</v>
      </c>
    </row>
    <row r="310" spans="1:6" x14ac:dyDescent="0.55000000000000004">
      <c r="A310" s="2">
        <v>509</v>
      </c>
      <c r="B310" s="1" t="s">
        <v>313</v>
      </c>
      <c r="C310" s="2">
        <v>2</v>
      </c>
      <c r="D310" s="1">
        <v>53.659100000000002</v>
      </c>
      <c r="E310" s="1">
        <v>9.8009000000000004</v>
      </c>
      <c r="F310" t="str">
        <f>_xlfn.XLOOKUP(Table6[[#This Row],[City]],Table9[city],Table9[admin_name])</f>
        <v>Schleswig-Holstein</v>
      </c>
    </row>
    <row r="311" spans="1:6" x14ac:dyDescent="0.55000000000000004">
      <c r="A311" s="2">
        <v>510</v>
      </c>
      <c r="B311" s="1" t="s">
        <v>314</v>
      </c>
      <c r="C311" s="2">
        <v>2</v>
      </c>
      <c r="D311" s="1">
        <v>47.760300000000001</v>
      </c>
      <c r="E311" s="1">
        <v>11.556699999999999</v>
      </c>
      <c r="F311" t="str">
        <f>_xlfn.XLOOKUP(Table6[[#This Row],[City]],Table9[city],Table9[admin_name])</f>
        <v>Bayern</v>
      </c>
    </row>
    <row r="312" spans="1:6" x14ac:dyDescent="0.55000000000000004">
      <c r="A312" s="2">
        <v>511</v>
      </c>
      <c r="B312" s="1" t="s">
        <v>315</v>
      </c>
      <c r="C312" s="2">
        <v>2</v>
      </c>
      <c r="D312" s="1">
        <v>51.666699999999999</v>
      </c>
      <c r="E312" s="1">
        <v>8.35</v>
      </c>
      <c r="F312" t="str">
        <f>_xlfn.XLOOKUP(Table6[[#This Row],[City]],Table9[city],Table9[admin_name])</f>
        <v>Nordrhein-Westfalen</v>
      </c>
    </row>
    <row r="313" spans="1:6" x14ac:dyDescent="0.55000000000000004">
      <c r="A313" s="2">
        <v>512</v>
      </c>
      <c r="B313" s="1" t="s">
        <v>316</v>
      </c>
      <c r="C313" s="2">
        <v>2</v>
      </c>
      <c r="D313" s="1">
        <v>48.683300000000003</v>
      </c>
      <c r="E313" s="1">
        <v>9</v>
      </c>
      <c r="F313" t="str">
        <f>_xlfn.XLOOKUP(Table6[[#This Row],[City]],Table9[city],Table9[admin_name])</f>
        <v>Baden-Württemberg</v>
      </c>
    </row>
    <row r="314" spans="1:6" x14ac:dyDescent="0.55000000000000004">
      <c r="A314" s="2">
        <v>513</v>
      </c>
      <c r="B314" s="1" t="s">
        <v>317</v>
      </c>
      <c r="C314" s="2">
        <v>2</v>
      </c>
      <c r="D314" s="1">
        <v>49.975700000000003</v>
      </c>
      <c r="E314" s="1">
        <v>9.1478000000000002</v>
      </c>
      <c r="F314" t="str">
        <f>_xlfn.XLOOKUP(Table6[[#This Row],[City]],Table9[city],Table9[admin_name])</f>
        <v>Bayern</v>
      </c>
    </row>
    <row r="315" spans="1:6" x14ac:dyDescent="0.55000000000000004">
      <c r="A315" s="2">
        <v>514</v>
      </c>
      <c r="B315" s="1" t="s">
        <v>318</v>
      </c>
      <c r="C315" s="2">
        <v>2</v>
      </c>
      <c r="D315" s="1">
        <v>47.6633</v>
      </c>
      <c r="E315" s="1">
        <v>9.1753</v>
      </c>
      <c r="F315" t="str">
        <f>_xlfn.XLOOKUP(Table6[[#This Row],[City]],Table9[city],Table9[admin_name])</f>
        <v>Baden-Württemberg</v>
      </c>
    </row>
    <row r="316" spans="1:6" x14ac:dyDescent="0.55000000000000004">
      <c r="A316" s="2">
        <v>515</v>
      </c>
      <c r="B316" s="1" t="s">
        <v>319</v>
      </c>
      <c r="C316" s="2">
        <v>2</v>
      </c>
      <c r="D316" s="1">
        <v>49.45</v>
      </c>
      <c r="E316" s="1">
        <v>10.95</v>
      </c>
      <c r="F316" t="str">
        <f>_xlfn.XLOOKUP(Table6[[#This Row],[City]],Table9[city],Table9[admin_name])</f>
        <v>Bayern</v>
      </c>
    </row>
    <row r="317" spans="1:6" x14ac:dyDescent="0.55000000000000004">
      <c r="A317" s="2">
        <v>516</v>
      </c>
      <c r="B317" s="1" t="s">
        <v>320</v>
      </c>
      <c r="C317" s="2">
        <v>2</v>
      </c>
      <c r="D317" s="1">
        <v>49.701900000000002</v>
      </c>
      <c r="E317" s="1">
        <v>7.3253000000000004</v>
      </c>
      <c r="F317" t="str">
        <f>_xlfn.XLOOKUP(Table6[[#This Row],[City]],Table9[city],Table9[admin_name])</f>
        <v>Rheinland-Pfalz</v>
      </c>
    </row>
    <row r="318" spans="1:6" x14ac:dyDescent="0.55000000000000004">
      <c r="A318" s="2">
        <v>517</v>
      </c>
      <c r="B318" s="1" t="s">
        <v>321</v>
      </c>
      <c r="C318" s="2">
        <v>2</v>
      </c>
      <c r="D318" s="1">
        <v>48.633299999999998</v>
      </c>
      <c r="E318" s="1">
        <v>12.5</v>
      </c>
      <c r="F318" t="str">
        <f>_xlfn.XLOOKUP(Table6[[#This Row],[City]],Table9[city],Table9[admin_name])</f>
        <v>Bayern</v>
      </c>
    </row>
    <row r="319" spans="1:6" x14ac:dyDescent="0.55000000000000004">
      <c r="A319" s="2">
        <v>518</v>
      </c>
      <c r="B319" s="1" t="s">
        <v>322</v>
      </c>
      <c r="C319" s="2">
        <v>2</v>
      </c>
      <c r="D319" s="1">
        <v>50.8247</v>
      </c>
      <c r="E319" s="1">
        <v>6.1275000000000004</v>
      </c>
      <c r="F319" t="str">
        <f>_xlfn.XLOOKUP(Table6[[#This Row],[City]],Table9[city],Table9[admin_name])</f>
        <v>Nordrhein-Westfalen</v>
      </c>
    </row>
    <row r="320" spans="1:6" x14ac:dyDescent="0.55000000000000004">
      <c r="A320" s="2">
        <v>519</v>
      </c>
      <c r="B320" s="1" t="s">
        <v>323</v>
      </c>
      <c r="C320" s="2">
        <v>2</v>
      </c>
      <c r="D320" s="1">
        <v>48.714399999999998</v>
      </c>
      <c r="E320" s="1">
        <v>8.7375000000000007</v>
      </c>
      <c r="F320" t="str">
        <f>_xlfn.XLOOKUP(Table6[[#This Row],[City]],Table9[city],Table9[admin_name])</f>
        <v>Baden-Württemberg</v>
      </c>
    </row>
    <row r="321" spans="1:6" x14ac:dyDescent="0.55000000000000004">
      <c r="A321" s="2">
        <v>520</v>
      </c>
      <c r="B321" s="1" t="s">
        <v>324</v>
      </c>
      <c r="C321" s="2">
        <v>2</v>
      </c>
      <c r="D321" s="1">
        <v>51.320799999999998</v>
      </c>
      <c r="E321" s="1">
        <v>6.4931000000000001</v>
      </c>
      <c r="F321" t="str">
        <f>_xlfn.XLOOKUP(Table6[[#This Row],[City]],Table9[city],Table9[admin_name])</f>
        <v>Nordrhein-Westfalen</v>
      </c>
    </row>
    <row r="322" spans="1:6" x14ac:dyDescent="0.55000000000000004">
      <c r="A322" s="2">
        <v>521</v>
      </c>
      <c r="B322" s="1" t="s">
        <v>325</v>
      </c>
      <c r="C322" s="2">
        <v>2</v>
      </c>
      <c r="D322" s="1">
        <v>51.3658</v>
      </c>
      <c r="E322" s="1">
        <v>6.4194000000000004</v>
      </c>
      <c r="F322" t="str">
        <f>_xlfn.XLOOKUP(Table6[[#This Row],[City]],Table9[city],Table9[admin_name])</f>
        <v>Nordrhein-Westfalen</v>
      </c>
    </row>
    <row r="323" spans="1:6" x14ac:dyDescent="0.55000000000000004">
      <c r="A323" s="2">
        <v>522</v>
      </c>
      <c r="B323" s="1" t="s">
        <v>326</v>
      </c>
      <c r="C323" s="2">
        <v>2</v>
      </c>
      <c r="D323" s="1">
        <v>50.1</v>
      </c>
      <c r="E323" s="1">
        <v>11.433299999999999</v>
      </c>
      <c r="F323" t="str">
        <f>_xlfn.XLOOKUP(Table6[[#This Row],[City]],Table9[city],Table9[admin_name])</f>
        <v>Bayern</v>
      </c>
    </row>
    <row r="324" spans="1:6" x14ac:dyDescent="0.55000000000000004">
      <c r="A324" s="2">
        <v>523</v>
      </c>
      <c r="B324" s="1" t="s">
        <v>327</v>
      </c>
      <c r="C324" s="2">
        <v>2</v>
      </c>
      <c r="D324" s="1">
        <v>49.631900000000002</v>
      </c>
      <c r="E324" s="1">
        <v>8.3652999999999995</v>
      </c>
      <c r="F324" t="str">
        <f>_xlfn.XLOOKUP(Table6[[#This Row],[City]],Table9[city],Table9[admin_name])</f>
        <v>Rheinland-Pfalz</v>
      </c>
    </row>
    <row r="325" spans="1:6" x14ac:dyDescent="0.55000000000000004">
      <c r="A325" s="2">
        <v>524</v>
      </c>
      <c r="B325" s="1" t="s">
        <v>328</v>
      </c>
      <c r="C325" s="2">
        <v>2</v>
      </c>
      <c r="D325" s="1">
        <v>49.7333</v>
      </c>
      <c r="E325" s="1">
        <v>10.166700000000001</v>
      </c>
      <c r="F325" t="str">
        <f>_xlfn.XLOOKUP(Table6[[#This Row],[City]],Table9[city],Table9[admin_name])</f>
        <v>Bayern</v>
      </c>
    </row>
    <row r="326" spans="1:6" x14ac:dyDescent="0.55000000000000004">
      <c r="A326" s="2">
        <v>525</v>
      </c>
      <c r="B326" s="1" t="s">
        <v>329</v>
      </c>
      <c r="C326" s="2">
        <v>2</v>
      </c>
      <c r="D326" s="1">
        <v>49.641500000000001</v>
      </c>
      <c r="E326" s="1">
        <v>8.6449999999999996</v>
      </c>
      <c r="F326" t="str">
        <f>_xlfn.XLOOKUP(Table6[[#This Row],[City]],Table9[city],Table9[admin_name])</f>
        <v>Hessen</v>
      </c>
    </row>
    <row r="327" spans="1:6" x14ac:dyDescent="0.55000000000000004">
      <c r="A327" s="2">
        <v>526</v>
      </c>
      <c r="B327" s="1" t="s">
        <v>330</v>
      </c>
      <c r="C327" s="2">
        <v>2</v>
      </c>
      <c r="D327" s="1">
        <v>49.191699999999997</v>
      </c>
      <c r="E327" s="1">
        <v>9.2243999999999993</v>
      </c>
      <c r="F327" t="str">
        <f>_xlfn.XLOOKUP(Table6[[#This Row],[City]],Table9[city],Table9[admin_name])</f>
        <v>Baden-Württemberg</v>
      </c>
    </row>
    <row r="328" spans="1:6" x14ac:dyDescent="0.55000000000000004">
      <c r="A328" s="2">
        <v>527</v>
      </c>
      <c r="B328" s="1" t="s">
        <v>331</v>
      </c>
      <c r="C328" s="2">
        <v>2</v>
      </c>
      <c r="D328" s="1">
        <v>53.5</v>
      </c>
      <c r="E328" s="1">
        <v>8.4666999999999994</v>
      </c>
      <c r="F328" t="str">
        <f>_xlfn.XLOOKUP(Table6[[#This Row],[City]],Table9[city],Table9[admin_name])</f>
        <v>Niedersachsen</v>
      </c>
    </row>
    <row r="329" spans="1:6" x14ac:dyDescent="0.55000000000000004">
      <c r="A329" s="2">
        <v>528</v>
      </c>
      <c r="B329" s="1" t="s">
        <v>332</v>
      </c>
      <c r="C329" s="2">
        <v>2</v>
      </c>
      <c r="D329" s="1">
        <v>51.962499999999999</v>
      </c>
      <c r="E329" s="1">
        <v>7.6256000000000004</v>
      </c>
      <c r="F329" t="str">
        <f>_xlfn.XLOOKUP(Table6[[#This Row],[City]],Table9[city],Table9[admin_name])</f>
        <v>Nordrhein-Westfalen</v>
      </c>
    </row>
    <row r="330" spans="1:6" x14ac:dyDescent="0.55000000000000004">
      <c r="A330" s="2">
        <v>529</v>
      </c>
      <c r="B330" s="1" t="s">
        <v>333</v>
      </c>
      <c r="C330" s="2">
        <v>2</v>
      </c>
      <c r="D330" s="1">
        <v>52.6</v>
      </c>
      <c r="E330" s="1">
        <v>12.333299999999999</v>
      </c>
      <c r="F330" t="str">
        <f>_xlfn.XLOOKUP(Table6[[#This Row],[City]],Table9[city],Table9[admin_name])</f>
        <v>Brandenburg</v>
      </c>
    </row>
    <row r="331" spans="1:6" x14ac:dyDescent="0.55000000000000004">
      <c r="A331" s="2">
        <v>530</v>
      </c>
      <c r="B331" s="1" t="s">
        <v>334</v>
      </c>
      <c r="C331" s="2">
        <v>2</v>
      </c>
      <c r="D331" s="1">
        <v>50.436700000000002</v>
      </c>
      <c r="E331" s="1">
        <v>8.6622000000000003</v>
      </c>
      <c r="F331" t="str">
        <f>_xlfn.XLOOKUP(Table6[[#This Row],[City]],Table9[city],Table9[admin_name])</f>
        <v>Hessen</v>
      </c>
    </row>
    <row r="332" spans="1:6" x14ac:dyDescent="0.55000000000000004">
      <c r="A332" s="2">
        <v>531</v>
      </c>
      <c r="B332" s="1" t="s">
        <v>335</v>
      </c>
      <c r="C332" s="2">
        <v>2</v>
      </c>
      <c r="D332" s="1">
        <v>52.172800000000002</v>
      </c>
      <c r="E332" s="1">
        <v>7.5343999999999998</v>
      </c>
      <c r="F332" t="str">
        <f>_xlfn.XLOOKUP(Table6[[#This Row],[City]],Table9[city],Table9[admin_name])</f>
        <v>Nordrhein-Westfalen</v>
      </c>
    </row>
    <row r="333" spans="1:6" x14ac:dyDescent="0.55000000000000004">
      <c r="A333" s="2">
        <v>532</v>
      </c>
      <c r="B333" s="1" t="s">
        <v>336</v>
      </c>
      <c r="C333" s="2">
        <v>2</v>
      </c>
      <c r="D333" s="1">
        <v>51.190600000000003</v>
      </c>
      <c r="E333" s="1">
        <v>7.2247000000000003</v>
      </c>
      <c r="F333" t="str">
        <f>_xlfn.XLOOKUP(Table6[[#This Row],[City]],Table9[city],Table9[admin_name])</f>
        <v>Nordrhein-Westfalen</v>
      </c>
    </row>
    <row r="334" spans="1:6" x14ac:dyDescent="0.55000000000000004">
      <c r="A334" s="2">
        <v>533</v>
      </c>
      <c r="B334" s="1" t="s">
        <v>337</v>
      </c>
      <c r="C334" s="2">
        <v>2</v>
      </c>
      <c r="D334" s="1">
        <v>51.432200000000002</v>
      </c>
      <c r="E334" s="1">
        <v>6.7610999999999999</v>
      </c>
      <c r="F334" t="str">
        <f>_xlfn.XLOOKUP(Table6[[#This Row],[City]],Table9[city],Table9[admin_name])</f>
        <v>Nordrhein-Westfalen</v>
      </c>
    </row>
    <row r="335" spans="1:6" x14ac:dyDescent="0.55000000000000004">
      <c r="A335" s="2">
        <v>534</v>
      </c>
      <c r="B335" s="1" t="s">
        <v>338</v>
      </c>
      <c r="C335" s="2">
        <v>2</v>
      </c>
      <c r="D335" s="1">
        <v>48.837200000000003</v>
      </c>
      <c r="E335" s="1">
        <v>10.0936</v>
      </c>
      <c r="F335" t="str">
        <f>_xlfn.XLOOKUP(Table6[[#This Row],[City]],Table9[city],Table9[admin_name])</f>
        <v>Baden-Württemberg</v>
      </c>
    </row>
    <row r="336" spans="1:6" x14ac:dyDescent="0.55000000000000004">
      <c r="A336" s="2">
        <v>535</v>
      </c>
      <c r="B336" s="1" t="s">
        <v>339</v>
      </c>
      <c r="C336" s="2">
        <v>2</v>
      </c>
      <c r="D336" s="1">
        <v>48.45</v>
      </c>
      <c r="E336" s="1">
        <v>11.1333</v>
      </c>
      <c r="F336" t="str">
        <f>_xlfn.XLOOKUP(Table6[[#This Row],[City]],Table9[city],Table9[admin_name])</f>
        <v>Bayern</v>
      </c>
    </row>
    <row r="337" spans="1:6" x14ac:dyDescent="0.55000000000000004">
      <c r="A337" s="2">
        <v>536</v>
      </c>
      <c r="B337" s="1" t="s">
        <v>340</v>
      </c>
      <c r="C337" s="2">
        <v>2</v>
      </c>
      <c r="D337" s="1">
        <v>51.024700000000003</v>
      </c>
      <c r="E337" s="1">
        <v>11.5139</v>
      </c>
      <c r="F337" t="str">
        <f>_xlfn.XLOOKUP(Table6[[#This Row],[City]],Table9[city],Table9[admin_name])</f>
        <v>Thüringen</v>
      </c>
    </row>
    <row r="338" spans="1:6" x14ac:dyDescent="0.55000000000000004">
      <c r="A338" s="2">
        <v>537</v>
      </c>
      <c r="B338" s="1" t="s">
        <v>341</v>
      </c>
      <c r="C338" s="2">
        <v>2</v>
      </c>
      <c r="D338" s="1">
        <v>51.361400000000003</v>
      </c>
      <c r="E338" s="1">
        <v>7.2439999999999998</v>
      </c>
      <c r="F338" t="str">
        <f>_xlfn.XLOOKUP(Table6[[#This Row],[City]],Table9[city],Table9[admin_name])</f>
        <v>Nordrhein-Westfalen</v>
      </c>
    </row>
    <row r="339" spans="1:6" x14ac:dyDescent="0.55000000000000004">
      <c r="A339" s="2">
        <v>538</v>
      </c>
      <c r="B339" s="1" t="s">
        <v>342</v>
      </c>
      <c r="C339" s="2">
        <v>2</v>
      </c>
      <c r="D339" s="1">
        <v>50.645000000000003</v>
      </c>
      <c r="E339" s="1">
        <v>7.2268999999999997</v>
      </c>
      <c r="F339" t="str">
        <f>_xlfn.XLOOKUP(Table6[[#This Row],[City]],Table9[city],Table9[admin_name])</f>
        <v>Nordrhein-Westfalen</v>
      </c>
    </row>
    <row r="340" spans="1:6" x14ac:dyDescent="0.55000000000000004">
      <c r="A340" s="2">
        <v>539</v>
      </c>
      <c r="B340" s="1" t="s">
        <v>343</v>
      </c>
      <c r="C340" s="2">
        <v>2</v>
      </c>
      <c r="D340" s="1">
        <v>52.2</v>
      </c>
      <c r="E340" s="1">
        <v>8.6</v>
      </c>
      <c r="F340" t="str">
        <f>_xlfn.XLOOKUP(Table6[[#This Row],[City]],Table9[city],Table9[admin_name])</f>
        <v>Nordrhein-Westfalen</v>
      </c>
    </row>
    <row r="341" spans="1:6" x14ac:dyDescent="0.55000000000000004">
      <c r="A341" s="2">
        <v>540</v>
      </c>
      <c r="B341" s="1" t="s">
        <v>344</v>
      </c>
      <c r="C341" s="2">
        <v>2</v>
      </c>
      <c r="D341" s="1">
        <v>54.7819</v>
      </c>
      <c r="E341" s="1">
        <v>9.4367000000000001</v>
      </c>
      <c r="F341" t="str">
        <f>_xlfn.XLOOKUP(Table6[[#This Row],[City]],Table9[city],Table9[admin_name])</f>
        <v>Schleswig-Holstein</v>
      </c>
    </row>
    <row r="342" spans="1:6" x14ac:dyDescent="0.55000000000000004">
      <c r="A342" s="2">
        <v>541</v>
      </c>
      <c r="B342" s="1" t="s">
        <v>345</v>
      </c>
      <c r="C342" s="2">
        <v>2</v>
      </c>
      <c r="D342" s="1">
        <v>51.34</v>
      </c>
      <c r="E342" s="1">
        <v>7.0415999999999999</v>
      </c>
      <c r="F342" t="str">
        <f>_xlfn.XLOOKUP(Table6[[#This Row],[City]],Table9[city],Table9[admin_name])</f>
        <v>Nordrhein-Westfalen</v>
      </c>
    </row>
    <row r="343" spans="1:6" x14ac:dyDescent="0.55000000000000004">
      <c r="A343" s="2">
        <v>542</v>
      </c>
      <c r="B343" s="1" t="s">
        <v>346</v>
      </c>
      <c r="C343" s="2">
        <v>2</v>
      </c>
      <c r="D343" s="1">
        <v>51.116700000000002</v>
      </c>
      <c r="E343" s="1">
        <v>6.95</v>
      </c>
      <c r="F343" t="str">
        <f>_xlfn.XLOOKUP(Table6[[#This Row],[City]],Table9[city],Table9[admin_name])</f>
        <v>Nordrhein-Westfalen</v>
      </c>
    </row>
    <row r="344" spans="1:6" x14ac:dyDescent="0.55000000000000004">
      <c r="A344" s="2">
        <v>543</v>
      </c>
      <c r="B344" s="1" t="s">
        <v>347</v>
      </c>
      <c r="C344" s="2">
        <v>2</v>
      </c>
      <c r="D344" s="1">
        <v>51.683900000000001</v>
      </c>
      <c r="E344" s="1">
        <v>6.1619000000000002</v>
      </c>
      <c r="F344" t="str">
        <f>_xlfn.XLOOKUP(Table6[[#This Row],[City]],Table9[city],Table9[admin_name])</f>
        <v>Nordrhein-Westfalen</v>
      </c>
    </row>
    <row r="345" spans="1:6" x14ac:dyDescent="0.55000000000000004">
      <c r="A345" s="2">
        <v>544</v>
      </c>
      <c r="B345" s="1" t="s">
        <v>348</v>
      </c>
      <c r="C345" s="2">
        <v>2</v>
      </c>
      <c r="D345" s="1">
        <v>51.571100000000001</v>
      </c>
      <c r="E345" s="1">
        <v>8.1091999999999995</v>
      </c>
      <c r="F345" t="str">
        <f>_xlfn.XLOOKUP(Table6[[#This Row],[City]],Table9[city],Table9[admin_name])</f>
        <v>Nordrhein-Westfalen</v>
      </c>
    </row>
    <row r="346" spans="1:6" x14ac:dyDescent="0.55000000000000004">
      <c r="A346" s="2">
        <v>545</v>
      </c>
      <c r="B346" s="1" t="s">
        <v>349</v>
      </c>
      <c r="C346" s="2">
        <v>2</v>
      </c>
      <c r="D346" s="1">
        <v>50.583300000000001</v>
      </c>
      <c r="E346" s="1">
        <v>8.6667000000000005</v>
      </c>
      <c r="F346" t="str">
        <f>_xlfn.XLOOKUP(Table6[[#This Row],[City]],Table9[city],Table9[admin_name])</f>
        <v>Hessen</v>
      </c>
    </row>
    <row r="347" spans="1:6" x14ac:dyDescent="0.55000000000000004">
      <c r="A347" s="2">
        <v>546</v>
      </c>
      <c r="B347" s="1" t="s">
        <v>350</v>
      </c>
      <c r="C347" s="2">
        <v>2</v>
      </c>
      <c r="D347" s="1">
        <v>51.841700000000003</v>
      </c>
      <c r="E347" s="1">
        <v>8.3000000000000007</v>
      </c>
      <c r="F347" t="str">
        <f>_xlfn.XLOOKUP(Table6[[#This Row],[City]],Table9[city],Table9[admin_name])</f>
        <v>Nordrhein-Westfalen</v>
      </c>
    </row>
    <row r="348" spans="1:6" x14ac:dyDescent="0.55000000000000004">
      <c r="A348" s="2">
        <v>547</v>
      </c>
      <c r="B348" s="1" t="s">
        <v>351</v>
      </c>
      <c r="C348" s="2">
        <v>2</v>
      </c>
      <c r="D348" s="1">
        <v>52.374400000000001</v>
      </c>
      <c r="E348" s="1">
        <v>9.7385999999999999</v>
      </c>
      <c r="F348" t="str">
        <f>_xlfn.XLOOKUP(Table6[[#This Row],[City]],Table9[city],Table9[admin_name])</f>
        <v>Niedersachsen</v>
      </c>
    </row>
    <row r="349" spans="1:6" x14ac:dyDescent="0.55000000000000004">
      <c r="A349" s="2">
        <v>548</v>
      </c>
      <c r="B349" s="1" t="s">
        <v>352</v>
      </c>
      <c r="C349" s="2">
        <v>2</v>
      </c>
      <c r="D349" s="1">
        <v>53.012999999999998</v>
      </c>
      <c r="E349" s="1">
        <v>9.0329999999999995</v>
      </c>
      <c r="F349" t="str">
        <f>_xlfn.XLOOKUP(Table6[[#This Row],[City]],Table9[city],Table9[admin_name])</f>
        <v>Niedersachsen</v>
      </c>
    </row>
    <row r="350" spans="1:6" x14ac:dyDescent="0.55000000000000004">
      <c r="A350" s="2">
        <v>549</v>
      </c>
      <c r="B350" s="1" t="s">
        <v>353</v>
      </c>
      <c r="C350" s="2">
        <v>2</v>
      </c>
      <c r="D350" s="1">
        <v>53.366700000000002</v>
      </c>
      <c r="E350" s="1">
        <v>10.216699999999999</v>
      </c>
      <c r="F350" t="str">
        <f>_xlfn.XLOOKUP(Table6[[#This Row],[City]],Table9[city],Table9[admin_name])</f>
        <v>Niedersachsen</v>
      </c>
    </row>
    <row r="351" spans="1:6" x14ac:dyDescent="0.55000000000000004">
      <c r="A351" s="2">
        <v>550</v>
      </c>
      <c r="B351" s="1" t="s">
        <v>354</v>
      </c>
      <c r="C351" s="2">
        <v>2</v>
      </c>
      <c r="D351" s="1">
        <v>47.7667</v>
      </c>
      <c r="E351" s="1">
        <v>10.6167</v>
      </c>
      <c r="F351" t="str">
        <f>_xlfn.XLOOKUP(Table6[[#This Row],[City]],Table9[city],Table9[admin_name])</f>
        <v>Bayern</v>
      </c>
    </row>
    <row r="352" spans="1:6" x14ac:dyDescent="0.55000000000000004">
      <c r="A352" s="2">
        <v>551</v>
      </c>
      <c r="B352" s="1" t="s">
        <v>355</v>
      </c>
      <c r="C352" s="2">
        <v>2</v>
      </c>
      <c r="D352" s="1">
        <v>49.986899999999999</v>
      </c>
      <c r="E352" s="1">
        <v>6.8897000000000004</v>
      </c>
      <c r="F352" t="str">
        <f>_xlfn.XLOOKUP(Table6[[#This Row],[City]],Table9[city],Table9[admin_name])</f>
        <v>Rheinland-Pfalz</v>
      </c>
    </row>
    <row r="353" spans="1:6" x14ac:dyDescent="0.55000000000000004">
      <c r="A353" s="2">
        <v>552</v>
      </c>
      <c r="B353" s="1" t="s">
        <v>356</v>
      </c>
      <c r="C353" s="2">
        <v>2</v>
      </c>
      <c r="D353" s="1">
        <v>51.450800000000001</v>
      </c>
      <c r="E353" s="1">
        <v>7.0130999999999997</v>
      </c>
      <c r="F353" t="str">
        <f>_xlfn.XLOOKUP(Table6[[#This Row],[City]],Table9[city],Table9[admin_name])</f>
        <v>Nordrhein-Westfalen</v>
      </c>
    </row>
    <row r="354" spans="1:6" x14ac:dyDescent="0.55000000000000004">
      <c r="A354" s="2">
        <v>553</v>
      </c>
      <c r="B354" s="1" t="s">
        <v>357</v>
      </c>
      <c r="C354" s="2">
        <v>2</v>
      </c>
      <c r="D354" s="1">
        <v>51.103299999999997</v>
      </c>
      <c r="E354" s="1">
        <v>13.67</v>
      </c>
      <c r="F354" t="str">
        <f>_xlfn.XLOOKUP(Table6[[#This Row],[City]],Table9[city],Table9[admin_name])</f>
        <v>Sachsen</v>
      </c>
    </row>
    <row r="355" spans="1:6" x14ac:dyDescent="0.55000000000000004">
      <c r="A355" s="2">
        <v>554</v>
      </c>
      <c r="B355" s="1" t="s">
        <v>358</v>
      </c>
      <c r="C355" s="2">
        <v>2</v>
      </c>
      <c r="D355" s="1">
        <v>50.9833</v>
      </c>
      <c r="E355" s="1">
        <v>11.316700000000001</v>
      </c>
      <c r="F355" t="str">
        <f>_xlfn.XLOOKUP(Table6[[#This Row],[City]],Table9[city],Table9[admin_name])</f>
        <v>Thüringen</v>
      </c>
    </row>
    <row r="356" spans="1:6" x14ac:dyDescent="0.55000000000000004">
      <c r="A356" s="2">
        <v>555</v>
      </c>
      <c r="B356" s="1" t="s">
        <v>359</v>
      </c>
      <c r="C356" s="2">
        <v>2</v>
      </c>
      <c r="D356" s="1">
        <v>53.508899999999997</v>
      </c>
      <c r="E356" s="1">
        <v>10.2483</v>
      </c>
      <c r="F356" t="str">
        <f>_xlfn.XLOOKUP(Table6[[#This Row],[City]],Table9[city],Table9[admin_name])</f>
        <v>Schleswig-Holstein</v>
      </c>
    </row>
    <row r="357" spans="1:6" x14ac:dyDescent="0.55000000000000004">
      <c r="A357" s="2">
        <v>556</v>
      </c>
      <c r="B357" s="1" t="s">
        <v>360</v>
      </c>
      <c r="C357" s="2">
        <v>2</v>
      </c>
      <c r="D357" s="1">
        <v>53.892499999999998</v>
      </c>
      <c r="E357" s="1">
        <v>11.465</v>
      </c>
      <c r="F357" t="str">
        <f>_xlfn.XLOOKUP(Table6[[#This Row],[City]],Table9[city],Table9[admin_name])</f>
        <v>Mecklenburg-Vorpommern</v>
      </c>
    </row>
    <row r="358" spans="1:6" x14ac:dyDescent="0.55000000000000004">
      <c r="A358" s="2">
        <v>557</v>
      </c>
      <c r="B358" s="1" t="s">
        <v>361</v>
      </c>
      <c r="C358" s="2">
        <v>2</v>
      </c>
      <c r="D358" s="1">
        <v>51.290399999999998</v>
      </c>
      <c r="E358" s="1">
        <v>7.2972000000000001</v>
      </c>
      <c r="F358" t="str">
        <f>_xlfn.XLOOKUP(Table6[[#This Row],[City]],Table9[city],Table9[admin_name])</f>
        <v>Nordrhein-Westfalen</v>
      </c>
    </row>
    <row r="359" spans="1:6" x14ac:dyDescent="0.55000000000000004">
      <c r="A359" s="2">
        <v>558</v>
      </c>
      <c r="B359" s="1" t="s">
        <v>362</v>
      </c>
      <c r="C359" s="2">
        <v>2</v>
      </c>
      <c r="D359" s="1">
        <v>49.3</v>
      </c>
      <c r="E359" s="1">
        <v>10.583299999999999</v>
      </c>
      <c r="F359" t="str">
        <f>_xlfn.XLOOKUP(Table6[[#This Row],[City]],Table9[city],Table9[admin_name])</f>
        <v>Bayern</v>
      </c>
    </row>
    <row r="360" spans="1:6" x14ac:dyDescent="0.55000000000000004">
      <c r="A360" s="2">
        <v>559</v>
      </c>
      <c r="B360" s="1" t="s">
        <v>363</v>
      </c>
      <c r="C360" s="2">
        <v>2</v>
      </c>
      <c r="D360" s="1">
        <v>49.316699999999997</v>
      </c>
      <c r="E360" s="1">
        <v>7.3333000000000004</v>
      </c>
      <c r="F360" t="str">
        <f>_xlfn.XLOOKUP(Table6[[#This Row],[City]],Table9[city],Table9[admin_name])</f>
        <v>Saarland</v>
      </c>
    </row>
    <row r="361" spans="1:6" x14ac:dyDescent="0.55000000000000004">
      <c r="A361" s="2">
        <v>560</v>
      </c>
      <c r="B361" s="1" t="s">
        <v>364</v>
      </c>
      <c r="C361" s="2">
        <v>2</v>
      </c>
      <c r="D361" s="1">
        <v>48.463299999999997</v>
      </c>
      <c r="E361" s="1">
        <v>8.4110999999999994</v>
      </c>
      <c r="F361" t="str">
        <f>_xlfn.XLOOKUP(Table6[[#This Row],[City]],Table9[city],Table9[admin_name])</f>
        <v>Baden-Württemberg</v>
      </c>
    </row>
    <row r="362" spans="1:6" x14ac:dyDescent="0.55000000000000004">
      <c r="A362" s="2">
        <v>561</v>
      </c>
      <c r="B362" s="1" t="s">
        <v>365</v>
      </c>
      <c r="C362" s="2">
        <v>2</v>
      </c>
      <c r="D362" s="1">
        <v>49.533299999999997</v>
      </c>
      <c r="E362" s="1">
        <v>8.35</v>
      </c>
      <c r="F362" t="str">
        <f>_xlfn.XLOOKUP(Table6[[#This Row],[City]],Table9[city],Table9[admin_name])</f>
        <v>Rheinland-Pfalz</v>
      </c>
    </row>
    <row r="363" spans="1:6" x14ac:dyDescent="0.55000000000000004">
      <c r="A363" s="2">
        <v>562</v>
      </c>
      <c r="B363" s="1" t="s">
        <v>366</v>
      </c>
      <c r="C363" s="2">
        <v>2</v>
      </c>
      <c r="D363" s="1">
        <v>51.937800000000003</v>
      </c>
      <c r="E363" s="1">
        <v>8.8833000000000002</v>
      </c>
      <c r="F363" t="str">
        <f>_xlfn.XLOOKUP(Table6[[#This Row],[City]],Table9[city],Table9[admin_name])</f>
        <v>Nordrhein-Westfalen</v>
      </c>
    </row>
    <row r="364" spans="1:6" x14ac:dyDescent="0.55000000000000004">
      <c r="A364" s="2">
        <v>563</v>
      </c>
      <c r="B364" s="1" t="s">
        <v>367</v>
      </c>
      <c r="C364" s="2">
        <v>2</v>
      </c>
      <c r="D364" s="1">
        <v>49.283299999999997</v>
      </c>
      <c r="E364" s="1">
        <v>11.466699999999999</v>
      </c>
      <c r="F364" t="str">
        <f>_xlfn.XLOOKUP(Table6[[#This Row],[City]],Table9[city],Table9[admin_name])</f>
        <v>Bayern</v>
      </c>
    </row>
    <row r="365" spans="1:6" x14ac:dyDescent="0.55000000000000004">
      <c r="A365" s="2">
        <v>564</v>
      </c>
      <c r="B365" s="1" t="s">
        <v>368</v>
      </c>
      <c r="C365" s="2">
        <v>2</v>
      </c>
      <c r="D365" s="1">
        <v>51.316699999999997</v>
      </c>
      <c r="E365" s="1">
        <v>8</v>
      </c>
      <c r="F365" t="str">
        <f>_xlfn.XLOOKUP(Table6[[#This Row],[City]],Table9[city],Table9[admin_name])</f>
        <v>Nordrhein-Westfalen</v>
      </c>
    </row>
    <row r="366" spans="1:6" x14ac:dyDescent="0.55000000000000004">
      <c r="A366" s="2">
        <v>565</v>
      </c>
      <c r="B366" s="1" t="s">
        <v>369</v>
      </c>
      <c r="C366" s="2">
        <v>2</v>
      </c>
      <c r="D366" s="1">
        <v>51.6</v>
      </c>
      <c r="E366" s="1">
        <v>7.1333000000000002</v>
      </c>
      <c r="F366" t="str">
        <f>_xlfn.XLOOKUP(Table6[[#This Row],[City]],Table9[city],Table9[admin_name])</f>
        <v>Nordrhein-Westfalen</v>
      </c>
    </row>
    <row r="367" spans="1:6" x14ac:dyDescent="0.55000000000000004">
      <c r="A367" s="2">
        <v>566</v>
      </c>
      <c r="B367" s="1" t="s">
        <v>370</v>
      </c>
      <c r="C367" s="2">
        <v>2</v>
      </c>
      <c r="D367" s="1">
        <v>51.2667</v>
      </c>
      <c r="E367" s="1">
        <v>7.1833</v>
      </c>
      <c r="F367" t="str">
        <f>_xlfn.XLOOKUP(Table6[[#This Row],[City]],Table9[city],Table9[admin_name])</f>
        <v>Nordrhein-Westfalen</v>
      </c>
    </row>
    <row r="368" spans="1:6" x14ac:dyDescent="0.55000000000000004">
      <c r="A368" s="2">
        <v>567</v>
      </c>
      <c r="B368" s="1" t="s">
        <v>371</v>
      </c>
      <c r="C368" s="2">
        <v>2</v>
      </c>
      <c r="D368" s="1">
        <v>50.7592</v>
      </c>
      <c r="E368" s="1">
        <v>7.0049999999999999</v>
      </c>
      <c r="F368" t="str">
        <f>_xlfn.XLOOKUP(Table6[[#This Row],[City]],Table9[city],Table9[admin_name])</f>
        <v>Nordrhein-Westfalen</v>
      </c>
    </row>
    <row r="369" spans="1:6" x14ac:dyDescent="0.55000000000000004">
      <c r="A369" s="2">
        <v>568</v>
      </c>
      <c r="B369" s="1" t="s">
        <v>372</v>
      </c>
      <c r="C369" s="2">
        <v>2</v>
      </c>
      <c r="D369" s="1">
        <v>47.6858</v>
      </c>
      <c r="E369" s="1">
        <v>9.8341999999999992</v>
      </c>
      <c r="F369" t="str">
        <f>_xlfn.XLOOKUP(Table6[[#This Row],[City]],Table9[city],Table9[admin_name])</f>
        <v>Baden-Württemberg</v>
      </c>
    </row>
    <row r="370" spans="1:6" x14ac:dyDescent="0.55000000000000004">
      <c r="A370" s="2">
        <v>569</v>
      </c>
      <c r="B370" s="1" t="s">
        <v>373</v>
      </c>
      <c r="C370" s="2">
        <v>2</v>
      </c>
      <c r="D370" s="1">
        <v>50.896099999999997</v>
      </c>
      <c r="E370" s="1">
        <v>14.8072</v>
      </c>
      <c r="F370" t="str">
        <f>_xlfn.XLOOKUP(Table6[[#This Row],[City]],Table9[city],Table9[admin_name])</f>
        <v>Sachsen</v>
      </c>
    </row>
    <row r="371" spans="1:6" x14ac:dyDescent="0.55000000000000004">
      <c r="A371" s="2">
        <v>570</v>
      </c>
      <c r="B371" s="1" t="s">
        <v>374</v>
      </c>
      <c r="C371" s="2">
        <v>2</v>
      </c>
      <c r="D371" s="1">
        <v>51.326500000000003</v>
      </c>
      <c r="E371" s="1">
        <v>6.9710000000000001</v>
      </c>
      <c r="F371" t="str">
        <f>_xlfn.XLOOKUP(Table6[[#This Row],[City]],Table9[city],Table9[admin_name])</f>
        <v>Nordrhein-Westfalen</v>
      </c>
    </row>
    <row r="372" spans="1:6" x14ac:dyDescent="0.55000000000000004">
      <c r="A372" s="2">
        <v>571</v>
      </c>
      <c r="B372" s="1" t="s">
        <v>375</v>
      </c>
      <c r="C372" s="2">
        <v>2</v>
      </c>
      <c r="D372" s="1">
        <v>52.0167</v>
      </c>
      <c r="E372" s="1">
        <v>8.5333000000000006</v>
      </c>
      <c r="F372" t="str">
        <f>_xlfn.XLOOKUP(Table6[[#This Row],[City]],Table9[city],Table9[admin_name])</f>
        <v>Nordrhein-Westfalen</v>
      </c>
    </row>
    <row r="373" spans="1:6" x14ac:dyDescent="0.55000000000000004">
      <c r="A373" s="2">
        <v>572</v>
      </c>
      <c r="B373" s="1" t="s">
        <v>376</v>
      </c>
      <c r="C373" s="2">
        <v>2</v>
      </c>
      <c r="D373" s="1">
        <v>52.396099999999997</v>
      </c>
      <c r="E373" s="1">
        <v>9.5981000000000005</v>
      </c>
      <c r="F373" t="str">
        <f>_xlfn.XLOOKUP(Table6[[#This Row],[City]],Table9[city],Table9[admin_name])</f>
        <v>Niedersachsen</v>
      </c>
    </row>
    <row r="374" spans="1:6" x14ac:dyDescent="0.55000000000000004">
      <c r="A374" s="2">
        <v>573</v>
      </c>
      <c r="B374" s="1" t="s">
        <v>377</v>
      </c>
      <c r="C374" s="2">
        <v>2</v>
      </c>
      <c r="D374" s="1">
        <v>53.366900000000001</v>
      </c>
      <c r="E374" s="1">
        <v>7.2061000000000002</v>
      </c>
      <c r="F374" t="str">
        <f>_xlfn.XLOOKUP(Table6[[#This Row],[City]],Table9[city],Table9[admin_name])</f>
        <v>Niedersachsen</v>
      </c>
    </row>
    <row r="375" spans="1:6" x14ac:dyDescent="0.55000000000000004">
      <c r="A375" s="2">
        <v>574</v>
      </c>
      <c r="B375" s="1" t="s">
        <v>378</v>
      </c>
      <c r="C375" s="2">
        <v>2</v>
      </c>
      <c r="D375" s="1">
        <v>51.505000000000003</v>
      </c>
      <c r="E375" s="1">
        <v>10.7911</v>
      </c>
      <c r="F375" t="str">
        <f>_xlfn.XLOOKUP(Table6[[#This Row],[City]],Table9[city],Table9[admin_name])</f>
        <v>Thüringen</v>
      </c>
    </row>
    <row r="376" spans="1:6" x14ac:dyDescent="0.55000000000000004">
      <c r="A376" s="2">
        <v>575</v>
      </c>
      <c r="B376" s="1" t="s">
        <v>379</v>
      </c>
      <c r="C376" s="2">
        <v>2</v>
      </c>
      <c r="D376" s="1">
        <v>52.114600000000003</v>
      </c>
      <c r="E376" s="1">
        <v>8.6734000000000009</v>
      </c>
      <c r="F376" t="str">
        <f>_xlfn.XLOOKUP(Table6[[#This Row],[City]],Table9[city],Table9[admin_name])</f>
        <v>Nordrhein-Westfalen</v>
      </c>
    </row>
    <row r="377" spans="1:6" x14ac:dyDescent="0.55000000000000004">
      <c r="A377" s="2">
        <v>576</v>
      </c>
      <c r="B377" s="1" t="s">
        <v>380</v>
      </c>
      <c r="C377" s="2">
        <v>2</v>
      </c>
      <c r="D377" s="1">
        <v>51.566699999999997</v>
      </c>
      <c r="E377" s="1">
        <v>6.7332999999999998</v>
      </c>
      <c r="F377" t="str">
        <f>_xlfn.XLOOKUP(Table6[[#This Row],[City]],Table9[city],Table9[admin_name])</f>
        <v>Nordrhein-Westfalen</v>
      </c>
    </row>
    <row r="378" spans="1:6" x14ac:dyDescent="0.55000000000000004">
      <c r="A378" s="2">
        <v>577</v>
      </c>
      <c r="B378" s="1" t="s">
        <v>381</v>
      </c>
      <c r="C378" s="2">
        <v>2</v>
      </c>
      <c r="D378" s="1">
        <v>50.654699999999998</v>
      </c>
      <c r="E378" s="1">
        <v>12.1997</v>
      </c>
      <c r="F378" t="str">
        <f>_xlfn.XLOOKUP(Table6[[#This Row],[City]],Table9[city],Table9[admin_name])</f>
        <v>Thüringen</v>
      </c>
    </row>
    <row r="379" spans="1:6" x14ac:dyDescent="0.55000000000000004">
      <c r="A379" s="2">
        <v>578</v>
      </c>
      <c r="B379" s="1" t="s">
        <v>382</v>
      </c>
      <c r="C379" s="2">
        <v>2</v>
      </c>
      <c r="D379" s="1">
        <v>51.271900000000002</v>
      </c>
      <c r="E379" s="1">
        <v>8.8731000000000009</v>
      </c>
      <c r="F379" t="str">
        <f>_xlfn.XLOOKUP(Table6[[#This Row],[City]],Table9[city],Table9[admin_name])</f>
        <v>Hessen</v>
      </c>
    </row>
    <row r="380" spans="1:6" x14ac:dyDescent="0.55000000000000004">
      <c r="A380" s="2">
        <v>579</v>
      </c>
      <c r="B380" s="1" t="s">
        <v>383</v>
      </c>
      <c r="C380" s="2">
        <v>2</v>
      </c>
      <c r="D380" s="1">
        <v>47.7333</v>
      </c>
      <c r="E380" s="1">
        <v>10.316700000000001</v>
      </c>
      <c r="F380" t="str">
        <f>_xlfn.XLOOKUP(Table6[[#This Row],[City]],Table9[city],Table9[admin_name])</f>
        <v>Bayern</v>
      </c>
    </row>
    <row r="381" spans="1:6" x14ac:dyDescent="0.55000000000000004">
      <c r="A381" s="2">
        <v>580</v>
      </c>
      <c r="B381" s="1" t="s">
        <v>384</v>
      </c>
      <c r="C381" s="2">
        <v>2</v>
      </c>
      <c r="D381" s="1">
        <v>48.3001</v>
      </c>
      <c r="E381" s="1">
        <v>11.908200000000001</v>
      </c>
      <c r="F381" t="str">
        <f>_xlfn.XLOOKUP(Table6[[#This Row],[City]],Table9[city],Table9[admin_name])</f>
        <v>Bayern</v>
      </c>
    </row>
    <row r="382" spans="1:6" x14ac:dyDescent="0.55000000000000004">
      <c r="A382" s="2">
        <v>581</v>
      </c>
      <c r="B382" s="1" t="s">
        <v>385</v>
      </c>
      <c r="C382" s="2">
        <v>2</v>
      </c>
      <c r="D382" s="1">
        <v>51.258899999999997</v>
      </c>
      <c r="E382" s="1">
        <v>9.4183000000000003</v>
      </c>
      <c r="F382" t="str">
        <f>_xlfn.XLOOKUP(Table6[[#This Row],[City]],Table9[city],Table9[admin_name])</f>
        <v>Hessen</v>
      </c>
    </row>
    <row r="383" spans="1:6" x14ac:dyDescent="0.55000000000000004">
      <c r="A383" s="2">
        <v>582</v>
      </c>
      <c r="B383" s="1" t="s">
        <v>386</v>
      </c>
      <c r="C383" s="2">
        <v>2</v>
      </c>
      <c r="D383" s="1">
        <v>48.273099999999999</v>
      </c>
      <c r="E383" s="1">
        <v>8.8506</v>
      </c>
      <c r="F383" t="str">
        <f>_xlfn.XLOOKUP(Table6[[#This Row],[City]],Table9[city],Table9[admin_name])</f>
        <v>Baden-Württemberg</v>
      </c>
    </row>
    <row r="384" spans="1:6" x14ac:dyDescent="0.55000000000000004">
      <c r="A384" s="2">
        <v>583</v>
      </c>
      <c r="B384" s="1" t="s">
        <v>387</v>
      </c>
      <c r="C384" s="2">
        <v>2</v>
      </c>
      <c r="D384" s="1">
        <v>49.9893</v>
      </c>
      <c r="E384" s="1">
        <v>8.6803000000000008</v>
      </c>
      <c r="F384" t="str">
        <f>_xlfn.XLOOKUP(Table6[[#This Row],[City]],Table9[city],Table9[admin_name])</f>
        <v>Hessen</v>
      </c>
    </row>
    <row r="385" spans="1:6" x14ac:dyDescent="0.55000000000000004">
      <c r="A385" s="2">
        <v>584</v>
      </c>
      <c r="B385" s="1" t="s">
        <v>388</v>
      </c>
      <c r="C385" s="2">
        <v>2</v>
      </c>
      <c r="D385" s="1">
        <v>49.481099999999998</v>
      </c>
      <c r="E385" s="1">
        <v>8.4352999999999998</v>
      </c>
      <c r="F385" t="str">
        <f>_xlfn.XLOOKUP(Table6[[#This Row],[City]],Table9[city],Table9[admin_name])</f>
        <v>Rheinland-Pfalz</v>
      </c>
    </row>
    <row r="386" spans="1:6" x14ac:dyDescent="0.55000000000000004">
      <c r="A386" s="2">
        <v>585</v>
      </c>
      <c r="B386" s="1" t="s">
        <v>389</v>
      </c>
      <c r="C386" s="2">
        <v>2</v>
      </c>
      <c r="D386" s="1">
        <v>51.0289</v>
      </c>
      <c r="E386" s="1">
        <v>7.8513999999999999</v>
      </c>
      <c r="F386" t="str">
        <f>_xlfn.XLOOKUP(Table6[[#This Row],[City]],Table9[city],Table9[admin_name])</f>
        <v>Nordrhein-Westfalen</v>
      </c>
    </row>
    <row r="387" spans="1:6" x14ac:dyDescent="0.55000000000000004">
      <c r="A387" s="2">
        <v>586</v>
      </c>
      <c r="B387" s="1" t="s">
        <v>390</v>
      </c>
      <c r="C387" s="2">
        <v>2</v>
      </c>
      <c r="D387" s="1">
        <v>50.687199999999997</v>
      </c>
      <c r="E387" s="1">
        <v>10.914199999999999</v>
      </c>
      <c r="F387" t="str">
        <f>_xlfn.XLOOKUP(Table6[[#This Row],[City]],Table9[city],Table9[admin_name])</f>
        <v>Thüringen</v>
      </c>
    </row>
    <row r="388" spans="1:6" x14ac:dyDescent="0.55000000000000004">
      <c r="A388" s="2">
        <v>587</v>
      </c>
      <c r="B388" s="1" t="s">
        <v>391</v>
      </c>
      <c r="C388" s="2">
        <v>2</v>
      </c>
      <c r="D388" s="1">
        <v>54.515300000000003</v>
      </c>
      <c r="E388" s="1">
        <v>9.5696999999999992</v>
      </c>
      <c r="F388" t="str">
        <f>_xlfn.XLOOKUP(Table6[[#This Row],[City]],Table9[city],Table9[admin_name])</f>
        <v>Schleswig-Holstein</v>
      </c>
    </row>
    <row r="389" spans="1:6" x14ac:dyDescent="0.55000000000000004">
      <c r="A389" s="2">
        <v>588</v>
      </c>
      <c r="B389" s="1" t="s">
        <v>392</v>
      </c>
      <c r="C389" s="2">
        <v>2</v>
      </c>
      <c r="D389" s="1">
        <v>51.883299999999998</v>
      </c>
      <c r="E389" s="1">
        <v>8.6166999999999998</v>
      </c>
      <c r="F389" t="str">
        <f>_xlfn.XLOOKUP(Table6[[#This Row],[City]],Table9[city],Table9[admin_name])</f>
        <v>Nordrhein-Westfalen</v>
      </c>
    </row>
    <row r="390" spans="1:6" x14ac:dyDescent="0.55000000000000004">
      <c r="A390" s="2">
        <v>589</v>
      </c>
      <c r="B390" s="1" t="s">
        <v>393</v>
      </c>
      <c r="C390" s="2">
        <v>2</v>
      </c>
      <c r="D390" s="1">
        <v>49.794400000000003</v>
      </c>
      <c r="E390" s="1">
        <v>9.9293999999999993</v>
      </c>
      <c r="F390" t="str">
        <f>_xlfn.XLOOKUP(Table6[[#This Row],[City]],Table9[city],Table9[admin_name])</f>
        <v>Bayern</v>
      </c>
    </row>
    <row r="391" spans="1:6" x14ac:dyDescent="0.55000000000000004">
      <c r="A391" s="2">
        <v>590</v>
      </c>
      <c r="B391" s="1" t="s">
        <v>394</v>
      </c>
      <c r="C391" s="2">
        <v>2</v>
      </c>
      <c r="D391" s="1">
        <v>48.283299999999997</v>
      </c>
      <c r="E391" s="1">
        <v>11.566700000000001</v>
      </c>
      <c r="F391" t="str">
        <f>_xlfn.XLOOKUP(Table6[[#This Row],[City]],Table9[city],Table9[admin_name])</f>
        <v>Bayern</v>
      </c>
    </row>
    <row r="392" spans="1:6" x14ac:dyDescent="0.55000000000000004">
      <c r="A392" s="2">
        <v>591</v>
      </c>
      <c r="B392" s="1" t="s">
        <v>395</v>
      </c>
      <c r="C392" s="2">
        <v>2</v>
      </c>
      <c r="D392" s="1">
        <v>48.801400000000001</v>
      </c>
      <c r="E392" s="1">
        <v>9.0130999999999997</v>
      </c>
      <c r="F392" t="str">
        <f>_xlfn.XLOOKUP(Table6[[#This Row],[City]],Table9[city],Table9[admin_name])</f>
        <v>Baden-Württemberg</v>
      </c>
    </row>
    <row r="393" spans="1:6" x14ac:dyDescent="0.55000000000000004">
      <c r="A393" s="2">
        <v>592</v>
      </c>
      <c r="B393" s="1" t="s">
        <v>396</v>
      </c>
      <c r="C393" s="2">
        <v>2</v>
      </c>
      <c r="D393" s="1">
        <v>52.35</v>
      </c>
      <c r="E393" s="1">
        <v>14.55</v>
      </c>
      <c r="F393" t="str">
        <f>_xlfn.XLOOKUP(Table6[[#This Row],[City]],Table9[city],Table9[admin_name])</f>
        <v>Brandenburg</v>
      </c>
    </row>
    <row r="394" spans="1:6" x14ac:dyDescent="0.55000000000000004">
      <c r="A394" s="2">
        <v>593</v>
      </c>
      <c r="B394" s="1" t="s">
        <v>397</v>
      </c>
      <c r="C394" s="2">
        <v>2</v>
      </c>
      <c r="D394" s="1">
        <v>50.610599999999998</v>
      </c>
      <c r="E394" s="1">
        <v>10.693099999999999</v>
      </c>
      <c r="F394" t="str">
        <f>_xlfn.XLOOKUP(Table6[[#This Row],[City]],Table9[city],Table9[admin_name])</f>
        <v>Thüringen</v>
      </c>
    </row>
    <row r="395" spans="1:6" x14ac:dyDescent="0.55000000000000004">
      <c r="A395" s="2">
        <v>594</v>
      </c>
      <c r="B395" s="1" t="s">
        <v>398</v>
      </c>
      <c r="C395" s="2">
        <v>2</v>
      </c>
      <c r="D395" s="1">
        <v>50.439700000000002</v>
      </c>
      <c r="E395" s="1">
        <v>7.4016999999999999</v>
      </c>
      <c r="F395" t="str">
        <f>_xlfn.XLOOKUP(Table6[[#This Row],[City]],Table9[city],Table9[admin_name])</f>
        <v>Rheinland-Pfalz</v>
      </c>
    </row>
    <row r="396" spans="1:6" x14ac:dyDescent="0.55000000000000004">
      <c r="A396" s="2">
        <v>595</v>
      </c>
      <c r="B396" s="1" t="s">
        <v>399</v>
      </c>
      <c r="C396" s="2">
        <v>2</v>
      </c>
      <c r="D396" s="1">
        <v>49.133299999999998</v>
      </c>
      <c r="E396" s="1">
        <v>8.6</v>
      </c>
      <c r="F396" t="str">
        <f>_xlfn.XLOOKUP(Table6[[#This Row],[City]],Table9[city],Table9[admin_name])</f>
        <v>Baden-Württemberg</v>
      </c>
    </row>
    <row r="397" spans="1:6" x14ac:dyDescent="0.55000000000000004">
      <c r="A397" s="2">
        <v>596</v>
      </c>
      <c r="B397" s="1" t="s">
        <v>400</v>
      </c>
      <c r="C397" s="2">
        <v>2</v>
      </c>
      <c r="D397" s="1">
        <v>53.5167</v>
      </c>
      <c r="E397" s="1">
        <v>8.1333000000000002</v>
      </c>
      <c r="F397" t="str">
        <f>_xlfn.XLOOKUP(Table6[[#This Row],[City]],Table9[city],Table9[admin_name])</f>
        <v>Niedersachsen</v>
      </c>
    </row>
    <row r="398" spans="1:6" x14ac:dyDescent="0.55000000000000004">
      <c r="A398" s="2">
        <v>597</v>
      </c>
      <c r="B398" s="1" t="s">
        <v>401</v>
      </c>
      <c r="C398" s="2">
        <v>2</v>
      </c>
      <c r="D398" s="1">
        <v>51.45</v>
      </c>
      <c r="E398" s="1">
        <v>8.3666999999999998</v>
      </c>
      <c r="F398" t="str">
        <f>_xlfn.XLOOKUP(Table6[[#This Row],[City]],Table9[city],Table9[admin_name])</f>
        <v>Nordrhein-Westfalen</v>
      </c>
    </row>
    <row r="399" spans="1:6" x14ac:dyDescent="0.55000000000000004">
      <c r="A399" s="2">
        <v>598</v>
      </c>
      <c r="B399" s="1" t="s">
        <v>402</v>
      </c>
      <c r="C399" s="2">
        <v>2</v>
      </c>
      <c r="D399" s="1">
        <v>51.033299999999997</v>
      </c>
      <c r="E399" s="1">
        <v>7.5667</v>
      </c>
      <c r="F399" t="str">
        <f>_xlfn.XLOOKUP(Table6[[#This Row],[City]],Table9[city],Table9[admin_name])</f>
        <v>Nordrhein-Westfalen</v>
      </c>
    </row>
    <row r="400" spans="1:6" x14ac:dyDescent="0.55000000000000004">
      <c r="A400" s="2">
        <v>599</v>
      </c>
      <c r="B400" s="1" t="s">
        <v>403</v>
      </c>
      <c r="C400" s="2">
        <v>2</v>
      </c>
      <c r="D400" s="1">
        <v>51.5167</v>
      </c>
      <c r="E400" s="1">
        <v>7.1</v>
      </c>
      <c r="F400" t="str">
        <f>_xlfn.XLOOKUP(Table6[[#This Row],[City]],Table9[city],Table9[admin_name])</f>
        <v>Nordrhein-Westfalen</v>
      </c>
    </row>
    <row r="401" spans="1:6" x14ac:dyDescent="0.55000000000000004">
      <c r="A401" s="2">
        <v>600</v>
      </c>
      <c r="B401" s="1" t="s">
        <v>404</v>
      </c>
      <c r="C401" s="2">
        <v>2</v>
      </c>
      <c r="D401" s="1">
        <v>51.4283</v>
      </c>
      <c r="E401" s="1">
        <v>6.8788999999999998</v>
      </c>
      <c r="F401" t="str">
        <f>_xlfn.XLOOKUP(Table6[[#This Row],[City]],Table9[city],Table9[admin_name])</f>
        <v>Nordrhein-Westfalen</v>
      </c>
    </row>
    <row r="402" spans="1:6" x14ac:dyDescent="0.55000000000000004">
      <c r="A402" s="2">
        <v>601</v>
      </c>
      <c r="B402" s="1" t="s">
        <v>405</v>
      </c>
      <c r="C402" s="2">
        <v>2</v>
      </c>
      <c r="D402" s="1">
        <v>52.488599999999998</v>
      </c>
      <c r="E402" s="1">
        <v>10.5464</v>
      </c>
      <c r="F402" t="str">
        <f>_xlfn.XLOOKUP(Table6[[#This Row],[City]],Table9[city],Table9[admin_name])</f>
        <v>Niedersachsen</v>
      </c>
    </row>
    <row r="403" spans="1:6" x14ac:dyDescent="0.55000000000000004">
      <c r="A403" s="2">
        <v>602</v>
      </c>
      <c r="B403" s="1" t="s">
        <v>406</v>
      </c>
      <c r="C403" s="2">
        <v>2</v>
      </c>
      <c r="D403" s="1">
        <v>48.897500000000001</v>
      </c>
      <c r="E403" s="1">
        <v>9.1919000000000004</v>
      </c>
      <c r="F403" t="str">
        <f>_xlfn.XLOOKUP(Table6[[#This Row],[City]],Table9[city],Table9[admin_name])</f>
        <v>Baden-Württemberg</v>
      </c>
    </row>
    <row r="404" spans="1:6" x14ac:dyDescent="0.55000000000000004">
      <c r="A404" s="2">
        <v>603</v>
      </c>
      <c r="B404" s="1" t="s">
        <v>407</v>
      </c>
      <c r="C404" s="2">
        <v>2</v>
      </c>
      <c r="D404" s="1">
        <v>48.695300000000003</v>
      </c>
      <c r="E404" s="1">
        <v>8.1349999999999998</v>
      </c>
      <c r="F404" t="str">
        <f>_xlfn.XLOOKUP(Table6[[#This Row],[City]],Table9[city],Table9[admin_name])</f>
        <v>Baden-Württemberg</v>
      </c>
    </row>
    <row r="405" spans="1:6" x14ac:dyDescent="0.55000000000000004">
      <c r="A405" s="2">
        <v>604</v>
      </c>
      <c r="B405" s="1" t="s">
        <v>408</v>
      </c>
      <c r="C405" s="2">
        <v>2</v>
      </c>
      <c r="D405" s="1">
        <v>48.452500000000001</v>
      </c>
      <c r="E405" s="1">
        <v>10.271100000000001</v>
      </c>
      <c r="F405" t="str">
        <f>_xlfn.XLOOKUP(Table6[[#This Row],[City]],Table9[city],Table9[admin_name])</f>
        <v>Bayern</v>
      </c>
    </row>
    <row r="406" spans="1:6" x14ac:dyDescent="0.55000000000000004">
      <c r="A406" s="2">
        <v>605</v>
      </c>
      <c r="B406" s="1" t="s">
        <v>409</v>
      </c>
      <c r="C406" s="2">
        <v>2</v>
      </c>
      <c r="D406" s="1">
        <v>51.55</v>
      </c>
      <c r="E406" s="1">
        <v>7.3167</v>
      </c>
      <c r="F406" t="str">
        <f>_xlfn.XLOOKUP(Table6[[#This Row],[City]],Table9[city],Table9[admin_name])</f>
        <v>Nordrhein-Westfalen</v>
      </c>
    </row>
    <row r="407" spans="1:6" x14ac:dyDescent="0.55000000000000004">
      <c r="A407" s="2">
        <v>606</v>
      </c>
      <c r="B407" s="1" t="s">
        <v>410</v>
      </c>
      <c r="C407" s="2">
        <v>2</v>
      </c>
      <c r="D407" s="1">
        <v>51.5426</v>
      </c>
      <c r="E407" s="1">
        <v>7.2190000000000003</v>
      </c>
      <c r="F407" t="str">
        <f>_xlfn.XLOOKUP(Table6[[#This Row],[City]],Table9[city],Table9[admin_name])</f>
        <v>Nordrhein-Westfalen</v>
      </c>
    </row>
    <row r="408" spans="1:6" x14ac:dyDescent="0.55000000000000004">
      <c r="A408" s="2">
        <v>607</v>
      </c>
      <c r="B408" s="1" t="s">
        <v>411</v>
      </c>
      <c r="C408" s="2">
        <v>2</v>
      </c>
      <c r="D408" s="1">
        <v>47.561100000000003</v>
      </c>
      <c r="E408" s="1">
        <v>7.7916999999999996</v>
      </c>
      <c r="F408" t="str">
        <f>_xlfn.XLOOKUP(Table6[[#This Row],[City]],Table9[city],Table9[admin_name])</f>
        <v>Baden-Württemberg</v>
      </c>
    </row>
    <row r="409" spans="1:6" x14ac:dyDescent="0.55000000000000004">
      <c r="A409" s="2">
        <v>608</v>
      </c>
      <c r="B409" s="1" t="s">
        <v>412</v>
      </c>
      <c r="C409" s="2">
        <v>2</v>
      </c>
      <c r="D409" s="1">
        <v>52.2</v>
      </c>
      <c r="E409" s="1">
        <v>8.6999999999999993</v>
      </c>
      <c r="F409" t="str">
        <f>_xlfn.XLOOKUP(Table6[[#This Row],[City]],Table9[city],Table9[admin_name])</f>
        <v>Nordrhein-Westfalen</v>
      </c>
    </row>
    <row r="410" spans="1:6" x14ac:dyDescent="0.55000000000000004">
      <c r="A410" s="2">
        <v>609</v>
      </c>
      <c r="B410" s="1" t="s">
        <v>413</v>
      </c>
      <c r="C410" s="2">
        <v>2</v>
      </c>
      <c r="D410" s="1">
        <v>49.756700000000002</v>
      </c>
      <c r="E410" s="1">
        <v>6.6414</v>
      </c>
      <c r="F410" t="str">
        <f>_xlfn.XLOOKUP(Table6[[#This Row],[City]],Table9[city],Table9[admin_name])</f>
        <v>Rheinland-Pfalz</v>
      </c>
    </row>
    <row r="411" spans="1:6" x14ac:dyDescent="0.55000000000000004">
      <c r="A411" s="2">
        <v>610</v>
      </c>
      <c r="B411" s="1" t="s">
        <v>414</v>
      </c>
      <c r="C411" s="2">
        <v>2</v>
      </c>
      <c r="D411" s="1">
        <v>49.3292</v>
      </c>
      <c r="E411" s="1">
        <v>11.020799999999999</v>
      </c>
      <c r="F411" t="str">
        <f>_xlfn.XLOOKUP(Table6[[#This Row],[City]],Table9[city],Table9[admin_name])</f>
        <v>Bayern</v>
      </c>
    </row>
    <row r="412" spans="1:6" x14ac:dyDescent="0.55000000000000004">
      <c r="A412" s="2">
        <v>611</v>
      </c>
      <c r="B412" s="1" t="s">
        <v>415</v>
      </c>
      <c r="C412" s="2">
        <v>2</v>
      </c>
      <c r="D412" s="1">
        <v>50.229199999999999</v>
      </c>
      <c r="E412" s="1">
        <v>8.6105</v>
      </c>
      <c r="F412" t="str">
        <f>_xlfn.XLOOKUP(Table6[[#This Row],[City]],Table9[city],Table9[admin_name])</f>
        <v>Hessen</v>
      </c>
    </row>
    <row r="413" spans="1:6" x14ac:dyDescent="0.55000000000000004">
      <c r="A413" s="2">
        <v>612</v>
      </c>
      <c r="B413" s="1" t="s">
        <v>416</v>
      </c>
      <c r="C413" s="2">
        <v>2</v>
      </c>
      <c r="D413" s="1">
        <v>52.377200000000002</v>
      </c>
      <c r="E413" s="1">
        <v>8.6327999999999996</v>
      </c>
      <c r="F413" t="str">
        <f>_xlfn.XLOOKUP(Table6[[#This Row],[City]],Table9[city],Table9[admin_name])</f>
        <v>Nordrhein-Westfalen</v>
      </c>
    </row>
    <row r="414" spans="1:6" x14ac:dyDescent="0.55000000000000004">
      <c r="A414" s="2">
        <v>613</v>
      </c>
      <c r="B414" s="1" t="s">
        <v>417</v>
      </c>
      <c r="C414" s="2">
        <v>2</v>
      </c>
      <c r="D414" s="1">
        <v>48.060299999999998</v>
      </c>
      <c r="E414" s="1">
        <v>8.4586000000000006</v>
      </c>
      <c r="F414" t="str">
        <f>_xlfn.XLOOKUP(Table6[[#This Row],[City]],Table9[city],Table9[admin_name])</f>
        <v>Baden-Württemberg</v>
      </c>
    </row>
    <row r="415" spans="1:6" x14ac:dyDescent="0.55000000000000004">
      <c r="A415" s="2">
        <v>614</v>
      </c>
      <c r="B415" s="1" t="s">
        <v>418</v>
      </c>
      <c r="C415" s="2">
        <v>2</v>
      </c>
      <c r="D415" s="1">
        <v>50.966700000000003</v>
      </c>
      <c r="E415" s="1">
        <v>6.65</v>
      </c>
      <c r="F415" t="str">
        <f>_xlfn.XLOOKUP(Table6[[#This Row],[City]],Table9[city],Table9[admin_name])</f>
        <v>Nordrhein-Westfalen</v>
      </c>
    </row>
    <row r="416" spans="1:6" x14ac:dyDescent="0.55000000000000004">
      <c r="A416" s="2">
        <v>615</v>
      </c>
      <c r="B416" s="1" t="s">
        <v>419</v>
      </c>
      <c r="C416" s="2">
        <v>2</v>
      </c>
      <c r="D416" s="1">
        <v>51.835000000000001</v>
      </c>
      <c r="E416" s="1">
        <v>10.785299999999999</v>
      </c>
      <c r="F416" t="str">
        <f>_xlfn.XLOOKUP(Table6[[#This Row],[City]],Table9[city],Table9[admin_name])</f>
        <v>Sachsen-Anhalt</v>
      </c>
    </row>
    <row r="417" spans="1:6" x14ac:dyDescent="0.55000000000000004">
      <c r="A417" s="2">
        <v>616</v>
      </c>
      <c r="B417" s="1" t="s">
        <v>420</v>
      </c>
      <c r="C417" s="2">
        <v>2</v>
      </c>
      <c r="D417" s="1">
        <v>51.825800000000001</v>
      </c>
      <c r="E417" s="1">
        <v>8.1435999999999993</v>
      </c>
      <c r="F417" t="str">
        <f>_xlfn.XLOOKUP(Table6[[#This Row],[City]],Table9[city],Table9[admin_name])</f>
        <v>Nordrhein-Westfalen</v>
      </c>
    </row>
    <row r="418" spans="1:6" x14ac:dyDescent="0.55000000000000004">
      <c r="A418" s="2">
        <v>617</v>
      </c>
      <c r="B418" s="1" t="s">
        <v>421</v>
      </c>
      <c r="C418" s="2">
        <v>2</v>
      </c>
      <c r="D418" s="1">
        <v>50.383299999999998</v>
      </c>
      <c r="E418" s="1">
        <v>8.0667000000000009</v>
      </c>
      <c r="F418" t="str">
        <f>_xlfn.XLOOKUP(Table6[[#This Row],[City]],Table9[city],Table9[admin_name])</f>
        <v>Hessen</v>
      </c>
    </row>
    <row r="419" spans="1:6" x14ac:dyDescent="0.55000000000000004">
      <c r="A419" s="2">
        <v>618</v>
      </c>
      <c r="B419" s="1" t="s">
        <v>422</v>
      </c>
      <c r="C419" s="2">
        <v>2</v>
      </c>
      <c r="D419" s="1">
        <v>53.5747</v>
      </c>
      <c r="E419" s="1">
        <v>7.7808000000000002</v>
      </c>
      <c r="F419" t="str">
        <f>_xlfn.XLOOKUP(Table6[[#This Row],[City]],Table9[city],Table9[admin_name])</f>
        <v>Niedersachsen</v>
      </c>
    </row>
    <row r="420" spans="1:6" x14ac:dyDescent="0.55000000000000004">
      <c r="A420" s="2">
        <v>619</v>
      </c>
      <c r="B420" s="1" t="s">
        <v>423</v>
      </c>
      <c r="C420" s="2">
        <v>2</v>
      </c>
      <c r="D420" s="1">
        <v>48.052799999999998</v>
      </c>
      <c r="E420" s="1">
        <v>10.8689</v>
      </c>
      <c r="F420" t="str">
        <f>_xlfn.XLOOKUP(Table6[[#This Row],[City]],Table9[city],Table9[admin_name])</f>
        <v>Bayern</v>
      </c>
    </row>
    <row r="421" spans="1:6" x14ac:dyDescent="0.55000000000000004">
      <c r="A421" s="2">
        <v>620</v>
      </c>
      <c r="B421" s="1" t="s">
        <v>424</v>
      </c>
      <c r="C421" s="2">
        <v>2</v>
      </c>
      <c r="D421" s="1">
        <v>48.676099999999998</v>
      </c>
      <c r="E421" s="1">
        <v>10.154400000000001</v>
      </c>
      <c r="F421" t="str">
        <f>_xlfn.XLOOKUP(Table6[[#This Row],[City]],Table9[city],Table9[admin_name])</f>
        <v>Baden-Württemberg</v>
      </c>
    </row>
    <row r="422" spans="1:6" x14ac:dyDescent="0.55000000000000004">
      <c r="A422" s="2">
        <v>621</v>
      </c>
      <c r="B422" s="1" t="s">
        <v>425</v>
      </c>
      <c r="C422" s="2">
        <v>2</v>
      </c>
      <c r="D422" s="1">
        <v>51.591700000000003</v>
      </c>
      <c r="E422" s="1">
        <v>7.6653000000000002</v>
      </c>
      <c r="F422" t="str">
        <f>_xlfn.XLOOKUP(Table6[[#This Row],[City]],Table9[city],Table9[admin_name])</f>
        <v>Nordrhein-Westfalen</v>
      </c>
    </row>
    <row r="423" spans="1:6" x14ac:dyDescent="0.55000000000000004">
      <c r="A423" s="2">
        <v>622</v>
      </c>
      <c r="B423" s="1" t="s">
        <v>426</v>
      </c>
      <c r="C423" s="2">
        <v>2</v>
      </c>
      <c r="D423" s="1">
        <v>51.866700000000002</v>
      </c>
      <c r="E423" s="1">
        <v>11.566700000000001</v>
      </c>
      <c r="F423" t="str">
        <f>_xlfn.XLOOKUP(Table6[[#This Row],[City]],Table9[city],Table9[admin_name])</f>
        <v>Sachsen-Anhalt</v>
      </c>
    </row>
    <row r="424" spans="1:6" x14ac:dyDescent="0.55000000000000004">
      <c r="A424" s="2">
        <v>623</v>
      </c>
      <c r="B424" s="1" t="s">
        <v>427</v>
      </c>
      <c r="C424" s="2">
        <v>2</v>
      </c>
      <c r="D424" s="1">
        <v>48.566699999999997</v>
      </c>
      <c r="E424" s="1">
        <v>13.466699999999999</v>
      </c>
      <c r="F424" t="str">
        <f>_xlfn.XLOOKUP(Table6[[#This Row],[City]],Table9[city],Table9[admin_name])</f>
        <v>Bayern</v>
      </c>
    </row>
    <row r="425" spans="1:6" x14ac:dyDescent="0.55000000000000004">
      <c r="A425" s="2">
        <v>624</v>
      </c>
      <c r="B425" s="1" t="s">
        <v>428</v>
      </c>
      <c r="C425" s="2">
        <v>2</v>
      </c>
      <c r="D425" s="1">
        <v>49.510300000000001</v>
      </c>
      <c r="E425" s="1">
        <v>11.277200000000001</v>
      </c>
      <c r="F425" t="str">
        <f>_xlfn.XLOOKUP(Table6[[#This Row],[City]],Table9[city],Table9[admin_name])</f>
        <v>Bayern</v>
      </c>
    </row>
    <row r="426" spans="1:6" x14ac:dyDescent="0.55000000000000004">
      <c r="A426" s="2">
        <v>625</v>
      </c>
      <c r="B426" s="1" t="s">
        <v>429</v>
      </c>
      <c r="C426" s="2">
        <v>2</v>
      </c>
      <c r="D426" s="1">
        <v>53.556899999999999</v>
      </c>
      <c r="E426" s="1">
        <v>13.2608</v>
      </c>
      <c r="F426" t="str">
        <f>_xlfn.XLOOKUP(Table6[[#This Row],[City]],Table9[city],Table9[admin_name])</f>
        <v>Mecklenburg-Vorpommern</v>
      </c>
    </row>
    <row r="427" spans="1:6" x14ac:dyDescent="0.55000000000000004">
      <c r="A427" s="2">
        <v>626</v>
      </c>
      <c r="B427" s="1" t="s">
        <v>430</v>
      </c>
      <c r="C427" s="2">
        <v>2</v>
      </c>
      <c r="D427" s="1">
        <v>51.396700000000003</v>
      </c>
      <c r="E427" s="1">
        <v>8.0643999999999991</v>
      </c>
      <c r="F427" t="str">
        <f>_xlfn.XLOOKUP(Table6[[#This Row],[City]],Table9[city],Table9[admin_name])</f>
        <v>Nordrhein-Westfalen</v>
      </c>
    </row>
    <row r="428" spans="1:6" x14ac:dyDescent="0.55000000000000004">
      <c r="A428" s="2">
        <v>627</v>
      </c>
      <c r="B428" s="1" t="s">
        <v>431</v>
      </c>
      <c r="C428" s="2">
        <v>2</v>
      </c>
      <c r="D428" s="1">
        <v>49.444400000000002</v>
      </c>
      <c r="E428" s="1">
        <v>11.8483</v>
      </c>
      <c r="F428" t="str">
        <f>_xlfn.XLOOKUP(Table6[[#This Row],[City]],Table9[city],Table9[admin_name])</f>
        <v>Bayern</v>
      </c>
    </row>
    <row r="429" spans="1:6" x14ac:dyDescent="0.55000000000000004">
      <c r="A429" s="2">
        <v>628</v>
      </c>
      <c r="B429" s="1" t="s">
        <v>432</v>
      </c>
      <c r="C429" s="2">
        <v>2</v>
      </c>
      <c r="D429" s="1">
        <v>51.0608</v>
      </c>
      <c r="E429" s="1">
        <v>6.2196999999999996</v>
      </c>
      <c r="F429" t="str">
        <f>_xlfn.XLOOKUP(Table6[[#This Row],[City]],Table9[city],Table9[admin_name])</f>
        <v>Nordrhein-Westfalen</v>
      </c>
    </row>
    <row r="430" spans="1:6" x14ac:dyDescent="0.55000000000000004">
      <c r="A430" s="2">
        <v>629</v>
      </c>
      <c r="B430" s="1" t="s">
        <v>433</v>
      </c>
      <c r="C430" s="2">
        <v>2</v>
      </c>
      <c r="D430" s="1">
        <v>48.631399999999999</v>
      </c>
      <c r="E430" s="1">
        <v>8.0739000000000001</v>
      </c>
      <c r="F430" t="str">
        <f>_xlfn.XLOOKUP(Table6[[#This Row],[City]],Table9[city],Table9[admin_name])</f>
        <v>Baden-Württemberg</v>
      </c>
    </row>
    <row r="431" spans="1:6" x14ac:dyDescent="0.55000000000000004">
      <c r="A431" s="2">
        <v>630</v>
      </c>
      <c r="B431" s="1" t="s">
        <v>434</v>
      </c>
      <c r="C431" s="2">
        <v>2</v>
      </c>
      <c r="D431" s="1">
        <v>47.994700000000002</v>
      </c>
      <c r="E431" s="1">
        <v>7.8497000000000003</v>
      </c>
      <c r="F431" t="str">
        <f>_xlfn.XLOOKUP(Table6[[#This Row],[City]],Table9[city],Table9[admin_name])</f>
        <v>Baden-Württemberg</v>
      </c>
    </row>
    <row r="432" spans="1:6" x14ac:dyDescent="0.55000000000000004">
      <c r="A432" s="2">
        <v>631</v>
      </c>
      <c r="B432" s="1" t="s">
        <v>435</v>
      </c>
      <c r="C432" s="2">
        <v>2</v>
      </c>
      <c r="D432" s="1">
        <v>50.833300000000001</v>
      </c>
      <c r="E432" s="1">
        <v>12.916700000000001</v>
      </c>
      <c r="F432" t="str">
        <f>_xlfn.XLOOKUP(Table6[[#This Row],[City]],Table9[city],Table9[admin_name])</f>
        <v>Sachsen</v>
      </c>
    </row>
    <row r="433" spans="1:6" x14ac:dyDescent="0.55000000000000004">
      <c r="A433" s="2">
        <v>632</v>
      </c>
      <c r="B433" s="1" t="s">
        <v>436</v>
      </c>
      <c r="C433" s="2">
        <v>2</v>
      </c>
      <c r="D433" s="1">
        <v>47.724699999999999</v>
      </c>
      <c r="E433" s="1">
        <v>12.876899999999999</v>
      </c>
      <c r="F433" t="str">
        <f>_xlfn.XLOOKUP(Table6[[#This Row],[City]],Table9[city],Table9[admin_name])</f>
        <v>Bayern</v>
      </c>
    </row>
    <row r="434" spans="1:6" x14ac:dyDescent="0.55000000000000004">
      <c r="A434" s="2">
        <v>633</v>
      </c>
      <c r="B434" s="1" t="s">
        <v>437</v>
      </c>
      <c r="C434" s="2">
        <v>2</v>
      </c>
      <c r="D434" s="1">
        <v>48.648299999999999</v>
      </c>
      <c r="E434" s="1">
        <v>9.4511000000000003</v>
      </c>
      <c r="F434" t="str">
        <f>_xlfn.XLOOKUP(Table6[[#This Row],[City]],Table9[city],Table9[admin_name])</f>
        <v>Baden-Württemberg</v>
      </c>
    </row>
    <row r="435" spans="1:6" x14ac:dyDescent="0.55000000000000004">
      <c r="A435" s="2">
        <v>634</v>
      </c>
      <c r="B435" s="1" t="s">
        <v>438</v>
      </c>
      <c r="C435" s="2">
        <v>2</v>
      </c>
      <c r="D435" s="1">
        <v>48.168100000000003</v>
      </c>
      <c r="E435" s="1">
        <v>8.6247000000000007</v>
      </c>
      <c r="F435" t="str">
        <f>_xlfn.XLOOKUP(Table6[[#This Row],[City]],Table9[city],Table9[admin_name])</f>
        <v>Baden-Württemberg</v>
      </c>
    </row>
    <row r="436" spans="1:6" x14ac:dyDescent="0.55000000000000004">
      <c r="A436" s="2">
        <v>635</v>
      </c>
      <c r="B436" s="1" t="s">
        <v>439</v>
      </c>
      <c r="C436" s="2">
        <v>2</v>
      </c>
      <c r="D436" s="1">
        <v>51.183300000000003</v>
      </c>
      <c r="E436" s="1">
        <v>6.5167000000000002</v>
      </c>
      <c r="F436" t="str">
        <f>_xlfn.XLOOKUP(Table6[[#This Row],[City]],Table9[city],Table9[admin_name])</f>
        <v>Nordrhein-Westfalen</v>
      </c>
    </row>
    <row r="437" spans="1:6" x14ac:dyDescent="0.55000000000000004">
      <c r="A437" s="2">
        <v>636</v>
      </c>
      <c r="B437" s="1" t="s">
        <v>440</v>
      </c>
      <c r="C437" s="2">
        <v>2</v>
      </c>
      <c r="D437" s="1">
        <v>51.716700000000003</v>
      </c>
      <c r="E437" s="1">
        <v>8.7667000000000002</v>
      </c>
      <c r="F437" t="str">
        <f>_xlfn.XLOOKUP(Table6[[#This Row],[City]],Table9[city],Table9[admin_name])</f>
        <v>Nordrhein-Westfalen</v>
      </c>
    </row>
    <row r="438" spans="1:6" x14ac:dyDescent="0.55000000000000004">
      <c r="A438" s="2">
        <v>637</v>
      </c>
      <c r="B438" s="1" t="s">
        <v>441</v>
      </c>
      <c r="C438" s="2">
        <v>2</v>
      </c>
      <c r="D438" s="1">
        <v>51.8</v>
      </c>
      <c r="E438" s="1">
        <v>11.7333</v>
      </c>
      <c r="F438" t="str">
        <f>_xlfn.XLOOKUP(Table6[[#This Row],[City]],Table9[city],Table9[admin_name])</f>
        <v>Sachsen-Anhalt</v>
      </c>
    </row>
    <row r="439" spans="1:6" x14ac:dyDescent="0.55000000000000004">
      <c r="A439" s="2">
        <v>638</v>
      </c>
      <c r="B439" s="1" t="s">
        <v>442</v>
      </c>
      <c r="C439" s="2">
        <v>2</v>
      </c>
      <c r="D439" s="1">
        <v>54.3</v>
      </c>
      <c r="E439" s="1">
        <v>13.083299999999999</v>
      </c>
      <c r="F439" t="str">
        <f>_xlfn.XLOOKUP(Table6[[#This Row],[City]],Table9[city],Table9[admin_name])</f>
        <v>Mecklenburg-Vorpommern</v>
      </c>
    </row>
    <row r="440" spans="1:6" x14ac:dyDescent="0.55000000000000004">
      <c r="A440" s="2">
        <v>639</v>
      </c>
      <c r="B440" s="1" t="s">
        <v>443</v>
      </c>
      <c r="C440" s="2">
        <v>2</v>
      </c>
      <c r="D440" s="1">
        <v>50.841500000000003</v>
      </c>
      <c r="E440" s="1">
        <v>7.2165999999999997</v>
      </c>
      <c r="F440" t="str">
        <f>_xlfn.XLOOKUP(Table6[[#This Row],[City]],Table9[city],Table9[admin_name])</f>
        <v>Nordrhein-Westfalen</v>
      </c>
    </row>
    <row r="441" spans="1:6" x14ac:dyDescent="0.55000000000000004">
      <c r="A441" s="2">
        <v>640</v>
      </c>
      <c r="B441" s="1" t="s">
        <v>444</v>
      </c>
      <c r="C441" s="2">
        <v>2</v>
      </c>
      <c r="D441" s="1">
        <v>47.615600000000001</v>
      </c>
      <c r="E441" s="1">
        <v>7.6614000000000004</v>
      </c>
      <c r="F441" t="str">
        <f>_xlfn.XLOOKUP(Table6[[#This Row],[City]],Table9[city],Table9[admin_name])</f>
        <v>Baden-Württemberg</v>
      </c>
    </row>
    <row r="442" spans="1:6" x14ac:dyDescent="0.55000000000000004">
      <c r="A442" s="2">
        <v>641</v>
      </c>
      <c r="B442" s="1" t="s">
        <v>445</v>
      </c>
      <c r="C442" s="2">
        <v>2</v>
      </c>
      <c r="D442" s="1">
        <v>51.238599999999998</v>
      </c>
      <c r="E442" s="1">
        <v>12.725300000000001</v>
      </c>
      <c r="F442" t="str">
        <f>_xlfn.XLOOKUP(Table6[[#This Row],[City]],Table9[city],Table9[admin_name])</f>
        <v>Sachsen</v>
      </c>
    </row>
    <row r="443" spans="1:6" x14ac:dyDescent="0.55000000000000004">
      <c r="A443" s="2">
        <v>642</v>
      </c>
      <c r="B443" s="1" t="s">
        <v>446</v>
      </c>
      <c r="C443" s="2">
        <v>2</v>
      </c>
      <c r="D443" s="1">
        <v>51.5</v>
      </c>
      <c r="E443" s="1">
        <v>6.5332999999999997</v>
      </c>
      <c r="F443" t="str">
        <f>_xlfn.XLOOKUP(Table6[[#This Row],[City]],Table9[city],Table9[admin_name])</f>
        <v>Nordrhein-Westfalen</v>
      </c>
    </row>
    <row r="444" spans="1:6" x14ac:dyDescent="0.55000000000000004">
      <c r="A444" s="2">
        <v>643</v>
      </c>
      <c r="B444" s="1" t="s">
        <v>447</v>
      </c>
      <c r="C444" s="2">
        <v>2</v>
      </c>
      <c r="D444" s="1">
        <v>49.805599999999998</v>
      </c>
      <c r="E444" s="1">
        <v>8.6044</v>
      </c>
      <c r="F444" t="str">
        <f>_xlfn.XLOOKUP(Table6[[#This Row],[City]],Table9[city],Table9[admin_name])</f>
        <v>Hessen</v>
      </c>
    </row>
    <row r="445" spans="1:6" x14ac:dyDescent="0.55000000000000004">
      <c r="A445" s="2">
        <v>644</v>
      </c>
      <c r="B445" s="1" t="s">
        <v>448</v>
      </c>
      <c r="C445" s="2">
        <v>2</v>
      </c>
      <c r="D445" s="1">
        <v>54.071399999999997</v>
      </c>
      <c r="E445" s="1">
        <v>9.99</v>
      </c>
      <c r="F445" t="str">
        <f>_xlfn.XLOOKUP(Table6[[#This Row],[City]],Table9[city],Table9[admin_name])</f>
        <v>Schleswig-Holstein</v>
      </c>
    </row>
    <row r="446" spans="1:6" x14ac:dyDescent="0.55000000000000004">
      <c r="A446" s="2">
        <v>645</v>
      </c>
      <c r="B446" s="1" t="s">
        <v>449</v>
      </c>
      <c r="C446" s="2">
        <v>2</v>
      </c>
      <c r="D446" s="1">
        <v>51.316699999999997</v>
      </c>
      <c r="E446" s="1">
        <v>6.2832999999999997</v>
      </c>
      <c r="F446" t="str">
        <f>_xlfn.XLOOKUP(Table6[[#This Row],[City]],Table9[city],Table9[admin_name])</f>
        <v>Nordrhein-Westfalen</v>
      </c>
    </row>
    <row r="447" spans="1:6" x14ac:dyDescent="0.55000000000000004">
      <c r="A447" s="2">
        <v>646</v>
      </c>
      <c r="B447" s="1" t="s">
        <v>450</v>
      </c>
      <c r="C447" s="2">
        <v>2</v>
      </c>
      <c r="D447" s="1">
        <v>51.829700000000003</v>
      </c>
      <c r="E447" s="1">
        <v>9.4482999999999997</v>
      </c>
      <c r="F447" t="str">
        <f>_xlfn.XLOOKUP(Table6[[#This Row],[City]],Table9[city],Table9[admin_name])</f>
        <v>Niedersachsen</v>
      </c>
    </row>
    <row r="448" spans="1:6" x14ac:dyDescent="0.55000000000000004">
      <c r="A448" s="2">
        <v>647</v>
      </c>
      <c r="B448" s="1" t="s">
        <v>451</v>
      </c>
      <c r="C448" s="2">
        <v>2</v>
      </c>
      <c r="D448" s="1">
        <v>51.350299999999997</v>
      </c>
      <c r="E448" s="1">
        <v>8.2835999999999999</v>
      </c>
      <c r="F448" t="str">
        <f>_xlfn.XLOOKUP(Table6[[#This Row],[City]],Table9[city],Table9[admin_name])</f>
        <v>Nordrhein-Westfalen</v>
      </c>
    </row>
    <row r="449" spans="1:6" x14ac:dyDescent="0.55000000000000004">
      <c r="A449" s="2">
        <v>648</v>
      </c>
      <c r="B449" s="1" t="s">
        <v>452</v>
      </c>
      <c r="C449" s="2">
        <v>2</v>
      </c>
      <c r="D449" s="1">
        <v>47.594700000000003</v>
      </c>
      <c r="E449" s="1">
        <v>7.6108000000000002</v>
      </c>
      <c r="F449" t="str">
        <f>_xlfn.XLOOKUP(Table6[[#This Row],[City]],Table9[city],Table9[admin_name])</f>
        <v>Baden-Württemberg</v>
      </c>
    </row>
    <row r="450" spans="1:6" x14ac:dyDescent="0.55000000000000004">
      <c r="A450" s="2">
        <v>649</v>
      </c>
      <c r="B450" s="1" t="s">
        <v>453</v>
      </c>
      <c r="C450" s="2">
        <v>2</v>
      </c>
      <c r="D450" s="1">
        <v>53.793900000000001</v>
      </c>
      <c r="E450" s="1">
        <v>12.176399999999999</v>
      </c>
      <c r="F450" t="str">
        <f>_xlfn.XLOOKUP(Table6[[#This Row],[City]],Table9[city],Table9[admin_name])</f>
        <v>Mecklenburg-Vorpommern</v>
      </c>
    </row>
    <row r="451" spans="1:6" x14ac:dyDescent="0.55000000000000004">
      <c r="A451" s="2">
        <v>650</v>
      </c>
      <c r="B451" s="1" t="s">
        <v>454</v>
      </c>
      <c r="C451" s="2">
        <v>2</v>
      </c>
      <c r="D451" s="1">
        <v>51.08</v>
      </c>
      <c r="E451" s="1">
        <v>6.3155999999999999</v>
      </c>
      <c r="F451" t="str">
        <f>_xlfn.XLOOKUP(Table6[[#This Row],[City]],Table9[city],Table9[admin_name])</f>
        <v>Nordrhein-Westfalen</v>
      </c>
    </row>
    <row r="452" spans="1:6" x14ac:dyDescent="0.55000000000000004">
      <c r="A452" s="2">
        <v>651</v>
      </c>
      <c r="B452" s="1" t="s">
        <v>455</v>
      </c>
      <c r="C452" s="2">
        <v>2</v>
      </c>
      <c r="D452" s="1">
        <v>47.866700000000002</v>
      </c>
      <c r="E452" s="1">
        <v>11.466699999999999</v>
      </c>
      <c r="F452" t="str">
        <f>_xlfn.XLOOKUP(Table6[[#This Row],[City]],Table9[city],Table9[admin_name])</f>
        <v>Bayern</v>
      </c>
    </row>
    <row r="453" spans="1:6" x14ac:dyDescent="0.55000000000000004">
      <c r="A453" s="2">
        <v>652</v>
      </c>
      <c r="B453" s="1" t="s">
        <v>456</v>
      </c>
      <c r="C453" s="2">
        <v>2</v>
      </c>
      <c r="D453" s="1">
        <v>48.8</v>
      </c>
      <c r="E453" s="1">
        <v>9.8000000000000007</v>
      </c>
      <c r="F453" t="str">
        <f>_xlfn.XLOOKUP(Table6[[#This Row],[City]],Table9[city],Table9[admin_name])</f>
        <v>Baden-Württemberg</v>
      </c>
    </row>
    <row r="454" spans="1:6" x14ac:dyDescent="0.55000000000000004">
      <c r="A454" s="2">
        <v>653</v>
      </c>
      <c r="B454" s="1" t="s">
        <v>457</v>
      </c>
      <c r="C454" s="2">
        <v>2</v>
      </c>
      <c r="D454" s="1">
        <v>48.9328</v>
      </c>
      <c r="E454" s="1">
        <v>8.9564000000000004</v>
      </c>
      <c r="F454" t="str">
        <f>_xlfn.XLOOKUP(Table6[[#This Row],[City]],Table9[city],Table9[admin_name])</f>
        <v>Baden-Württemberg</v>
      </c>
    </row>
    <row r="455" spans="1:6" x14ac:dyDescent="0.55000000000000004">
      <c r="A455" s="2">
        <v>654</v>
      </c>
      <c r="B455" s="1" t="s">
        <v>458</v>
      </c>
      <c r="C455" s="2">
        <v>2</v>
      </c>
      <c r="D455" s="1">
        <v>48.803899999999999</v>
      </c>
      <c r="E455" s="1">
        <v>8.3193999999999999</v>
      </c>
      <c r="F455" t="str">
        <f>_xlfn.XLOOKUP(Table6[[#This Row],[City]],Table9[city],Table9[admin_name])</f>
        <v>Baden-Württemberg</v>
      </c>
    </row>
    <row r="456" spans="1:6" x14ac:dyDescent="0.55000000000000004">
      <c r="A456" s="2">
        <v>655</v>
      </c>
      <c r="B456" s="1" t="s">
        <v>459</v>
      </c>
      <c r="C456" s="2">
        <v>2</v>
      </c>
      <c r="D456" s="1">
        <v>50.137999999999998</v>
      </c>
      <c r="E456" s="1">
        <v>8.4525000000000006</v>
      </c>
      <c r="F456" t="str">
        <f>_xlfn.XLOOKUP(Table6[[#This Row],[City]],Table9[city],Table9[admin_name])</f>
        <v>Hessen</v>
      </c>
    </row>
    <row r="457" spans="1:6" x14ac:dyDescent="0.55000000000000004">
      <c r="A457" s="2">
        <v>656</v>
      </c>
      <c r="B457" s="1" t="s">
        <v>460</v>
      </c>
      <c r="C457" s="2">
        <v>2</v>
      </c>
      <c r="D457" s="1">
        <v>49.447099999999999</v>
      </c>
      <c r="E457" s="1">
        <v>6.6311999999999998</v>
      </c>
      <c r="F457" t="str">
        <f>_xlfn.XLOOKUP(Table6[[#This Row],[City]],Table9[city],Table9[admin_name])</f>
        <v>Saarland</v>
      </c>
    </row>
    <row r="458" spans="1:6" x14ac:dyDescent="0.55000000000000004">
      <c r="A458" s="2">
        <v>657</v>
      </c>
      <c r="B458" s="1" t="s">
        <v>461</v>
      </c>
      <c r="C458" s="2">
        <v>2</v>
      </c>
      <c r="D458" s="1">
        <v>50.816099999999999</v>
      </c>
      <c r="E458" s="1">
        <v>7.1555999999999997</v>
      </c>
      <c r="F458" t="str">
        <f>_xlfn.XLOOKUP(Table6[[#This Row],[City]],Table9[city],Table9[admin_name])</f>
        <v>Nordrhein-Westfalen</v>
      </c>
    </row>
    <row r="459" spans="1:6" x14ac:dyDescent="0.55000000000000004">
      <c r="A459" s="2">
        <v>658</v>
      </c>
      <c r="B459" s="1" t="s">
        <v>462</v>
      </c>
      <c r="C459" s="2">
        <v>2</v>
      </c>
      <c r="D459" s="1">
        <v>48.121400000000001</v>
      </c>
      <c r="E459" s="1">
        <v>7.8491999999999997</v>
      </c>
      <c r="F459" t="str">
        <f>_xlfn.XLOOKUP(Table6[[#This Row],[City]],Table9[city],Table9[admin_name])</f>
        <v>Baden-Württemberg</v>
      </c>
    </row>
    <row r="460" spans="1:6" x14ac:dyDescent="0.55000000000000004">
      <c r="A460" s="2">
        <v>659</v>
      </c>
      <c r="B460" s="1" t="s">
        <v>463</v>
      </c>
      <c r="C460" s="2">
        <v>2</v>
      </c>
      <c r="D460" s="1">
        <v>50.866700000000002</v>
      </c>
      <c r="E460" s="1">
        <v>6.1</v>
      </c>
      <c r="F460" t="str">
        <f>_xlfn.XLOOKUP(Table6[[#This Row],[City]],Table9[city],Table9[admin_name])</f>
        <v>Nordrhein-Westfalen</v>
      </c>
    </row>
    <row r="461" spans="1:6" x14ac:dyDescent="0.55000000000000004">
      <c r="A461" s="2">
        <v>660</v>
      </c>
      <c r="B461" s="1" t="s">
        <v>464</v>
      </c>
      <c r="C461" s="2">
        <v>2</v>
      </c>
      <c r="D461" s="1">
        <v>51.816699999999997</v>
      </c>
      <c r="E461" s="1">
        <v>9.8666999999999998</v>
      </c>
      <c r="F461" t="str">
        <f>_xlfn.XLOOKUP(Table6[[#This Row],[City]],Table9[city],Table9[admin_name])</f>
        <v>Niedersachsen</v>
      </c>
    </row>
    <row r="462" spans="1:6" x14ac:dyDescent="0.55000000000000004">
      <c r="A462" s="2">
        <v>661</v>
      </c>
      <c r="B462" s="1" t="s">
        <v>465</v>
      </c>
      <c r="C462" s="2">
        <v>2</v>
      </c>
      <c r="D462" s="1">
        <v>48.7333</v>
      </c>
      <c r="E462" s="1">
        <v>11.183299999999999</v>
      </c>
      <c r="F462" t="str">
        <f>_xlfn.XLOOKUP(Table6[[#This Row],[City]],Table9[city],Table9[admin_name])</f>
        <v>Bayern</v>
      </c>
    </row>
    <row r="463" spans="1:6" x14ac:dyDescent="0.55000000000000004">
      <c r="A463" s="2">
        <v>662</v>
      </c>
      <c r="B463" s="1" t="s">
        <v>466</v>
      </c>
      <c r="C463" s="2">
        <v>2</v>
      </c>
      <c r="D463" s="1">
        <v>51.616700000000002</v>
      </c>
      <c r="E463" s="1">
        <v>7.5167000000000002</v>
      </c>
      <c r="F463" t="str">
        <f>_xlfn.XLOOKUP(Table6[[#This Row],[City]],Table9[city],Table9[admin_name])</f>
        <v>Nordrhein-Westfalen</v>
      </c>
    </row>
    <row r="464" spans="1:6" x14ac:dyDescent="0.55000000000000004">
      <c r="A464" s="2">
        <v>663</v>
      </c>
      <c r="B464" s="1" t="s">
        <v>467</v>
      </c>
      <c r="C464" s="2">
        <v>2</v>
      </c>
      <c r="D464" s="1">
        <v>53.6008</v>
      </c>
      <c r="E464" s="1">
        <v>9.4763999999999999</v>
      </c>
      <c r="F464" t="str">
        <f>_xlfn.XLOOKUP(Table6[[#This Row],[City]],Table9[city],Table9[admin_name])</f>
        <v>Niedersachsen</v>
      </c>
    </row>
    <row r="465" spans="1:6" x14ac:dyDescent="0.55000000000000004">
      <c r="A465" s="2">
        <v>664</v>
      </c>
      <c r="B465" s="1" t="s">
        <v>468</v>
      </c>
      <c r="C465" s="2">
        <v>2</v>
      </c>
      <c r="D465" s="1">
        <v>50.2</v>
      </c>
      <c r="E465" s="1">
        <v>10.066700000000001</v>
      </c>
      <c r="F465" t="str">
        <f>_xlfn.XLOOKUP(Table6[[#This Row],[City]],Table9[city],Table9[admin_name])</f>
        <v>Bayern</v>
      </c>
    </row>
    <row r="466" spans="1:6" x14ac:dyDescent="0.55000000000000004">
      <c r="A466" s="2">
        <v>665</v>
      </c>
      <c r="B466" s="1" t="s">
        <v>469</v>
      </c>
      <c r="C466" s="2">
        <v>2</v>
      </c>
      <c r="D466" s="1">
        <v>51.35</v>
      </c>
      <c r="E466" s="1">
        <v>12.3833</v>
      </c>
      <c r="F466" t="str">
        <f>_xlfn.XLOOKUP(Table6[[#This Row],[City]],Table9[city],Table9[admin_name])</f>
        <v>Sachsen</v>
      </c>
    </row>
    <row r="467" spans="1:6" x14ac:dyDescent="0.55000000000000004">
      <c r="A467" s="2">
        <v>666</v>
      </c>
      <c r="B467" s="1" t="s">
        <v>470</v>
      </c>
      <c r="C467" s="2">
        <v>2</v>
      </c>
      <c r="D467" s="1">
        <v>50.132800000000003</v>
      </c>
      <c r="E467" s="1">
        <v>8.9169</v>
      </c>
      <c r="F467" t="str">
        <f>_xlfn.XLOOKUP(Table6[[#This Row],[City]],Table9[city],Table9[admin_name])</f>
        <v>Hessen</v>
      </c>
    </row>
    <row r="468" spans="1:6" x14ac:dyDescent="0.55000000000000004">
      <c r="A468" s="2">
        <v>667</v>
      </c>
      <c r="B468" s="1" t="s">
        <v>471</v>
      </c>
      <c r="C468" s="2">
        <v>2</v>
      </c>
      <c r="D468" s="1">
        <v>51.7667</v>
      </c>
      <c r="E468" s="1">
        <v>9.3666999999999998</v>
      </c>
      <c r="F468" t="str">
        <f>_xlfn.XLOOKUP(Table6[[#This Row],[City]],Table9[city],Table9[admin_name])</f>
        <v>Nordrhein-Westfalen</v>
      </c>
    </row>
    <row r="469" spans="1:6" x14ac:dyDescent="0.55000000000000004">
      <c r="A469" s="2">
        <v>668</v>
      </c>
      <c r="B469" s="1" t="s">
        <v>472</v>
      </c>
      <c r="C469" s="2">
        <v>2</v>
      </c>
      <c r="D469" s="1">
        <v>52.847799999999999</v>
      </c>
      <c r="E469" s="1">
        <v>8.0439000000000007</v>
      </c>
      <c r="F469" t="str">
        <f>_xlfn.XLOOKUP(Table6[[#This Row],[City]],Table9[city],Table9[admin_name])</f>
        <v>Niedersachsen</v>
      </c>
    </row>
    <row r="470" spans="1:6" x14ac:dyDescent="0.55000000000000004">
      <c r="A470" s="2">
        <v>669</v>
      </c>
      <c r="B470" s="1" t="s">
        <v>473</v>
      </c>
      <c r="C470" s="2">
        <v>2</v>
      </c>
      <c r="D470" s="1">
        <v>48.876399999999997</v>
      </c>
      <c r="E470" s="1">
        <v>9.3978000000000002</v>
      </c>
      <c r="F470" t="str">
        <f>_xlfn.XLOOKUP(Table6[[#This Row],[City]],Table9[city],Table9[admin_name])</f>
        <v>Baden-Württemberg</v>
      </c>
    </row>
    <row r="471" spans="1:6" x14ac:dyDescent="0.55000000000000004">
      <c r="A471" s="2">
        <v>670</v>
      </c>
      <c r="B471" s="1" t="s">
        <v>474</v>
      </c>
      <c r="C471" s="2">
        <v>2</v>
      </c>
      <c r="D471" s="1">
        <v>51.534700000000001</v>
      </c>
      <c r="E471" s="1">
        <v>7.6889000000000003</v>
      </c>
      <c r="F471" t="str">
        <f>_xlfn.XLOOKUP(Table6[[#This Row],[City]],Table9[city],Table9[admin_name])</f>
        <v>Nordrhein-Westfalen</v>
      </c>
    </row>
    <row r="472" spans="1:6" x14ac:dyDescent="0.55000000000000004">
      <c r="A472" s="2">
        <v>671</v>
      </c>
      <c r="B472" s="1" t="s">
        <v>475</v>
      </c>
      <c r="C472" s="2">
        <v>2</v>
      </c>
      <c r="D472" s="1">
        <v>47.654200000000003</v>
      </c>
      <c r="E472" s="1">
        <v>9.4792000000000005</v>
      </c>
      <c r="F472" t="str">
        <f>_xlfn.XLOOKUP(Table6[[#This Row],[City]],Table9[city],Table9[admin_name])</f>
        <v>Baden-Württemberg</v>
      </c>
    </row>
    <row r="473" spans="1:6" x14ac:dyDescent="0.55000000000000004">
      <c r="A473" s="2">
        <v>672</v>
      </c>
      <c r="B473" s="1" t="s">
        <v>476</v>
      </c>
      <c r="C473" s="2">
        <v>2</v>
      </c>
      <c r="D473" s="1">
        <v>49.461799999999997</v>
      </c>
      <c r="E473" s="1">
        <v>8.1723999999999997</v>
      </c>
      <c r="F473" t="str">
        <f>_xlfn.XLOOKUP(Table6[[#This Row],[City]],Table9[city],Table9[admin_name])</f>
        <v>Rheinland-Pfalz</v>
      </c>
    </row>
    <row r="474" spans="1:6" x14ac:dyDescent="0.55000000000000004">
      <c r="A474" s="2">
        <v>673</v>
      </c>
      <c r="B474" s="1" t="s">
        <v>477</v>
      </c>
      <c r="C474" s="2">
        <v>2</v>
      </c>
      <c r="D474" s="1">
        <v>48.95</v>
      </c>
      <c r="E474" s="1">
        <v>8.8391999999999999</v>
      </c>
      <c r="F474" t="str">
        <f>_xlfn.XLOOKUP(Table6[[#This Row],[City]],Table9[city],Table9[admin_name])</f>
        <v>Baden-Württemberg</v>
      </c>
    </row>
    <row r="475" spans="1:6" x14ac:dyDescent="0.55000000000000004">
      <c r="A475" s="2">
        <v>674</v>
      </c>
      <c r="B475" s="1" t="s">
        <v>478</v>
      </c>
      <c r="C475" s="2">
        <v>2</v>
      </c>
      <c r="D475" s="1">
        <v>48.470799999999997</v>
      </c>
      <c r="E475" s="1">
        <v>7.9408000000000003</v>
      </c>
      <c r="F475" t="str">
        <f>_xlfn.XLOOKUP(Table6[[#This Row],[City]],Table9[city],Table9[admin_name])</f>
        <v>Baden-Württemberg</v>
      </c>
    </row>
    <row r="476" spans="1:6" x14ac:dyDescent="0.55000000000000004">
      <c r="A476" s="2">
        <v>675</v>
      </c>
      <c r="B476" s="1" t="s">
        <v>479</v>
      </c>
      <c r="C476" s="2">
        <v>2</v>
      </c>
      <c r="D476" s="1">
        <v>51.0167</v>
      </c>
      <c r="E476" s="1">
        <v>13.65</v>
      </c>
      <c r="F476" t="str">
        <f>_xlfn.XLOOKUP(Table6[[#This Row],[City]],Table9[city],Table9[admin_name])</f>
        <v>Sachsen</v>
      </c>
    </row>
    <row r="477" spans="1:6" x14ac:dyDescent="0.55000000000000004">
      <c r="A477" s="2">
        <v>676</v>
      </c>
      <c r="B477" s="1" t="s">
        <v>480</v>
      </c>
      <c r="C477" s="2">
        <v>2</v>
      </c>
      <c r="D477" s="1">
        <v>51.616700000000002</v>
      </c>
      <c r="E477" s="1">
        <v>7.2</v>
      </c>
      <c r="F477" t="str">
        <f>_xlfn.XLOOKUP(Table6[[#This Row],[City]],Table9[city],Table9[admin_name])</f>
        <v>Nordrhein-Westfalen</v>
      </c>
    </row>
    <row r="478" spans="1:6" x14ac:dyDescent="0.55000000000000004">
      <c r="A478" s="2">
        <v>677</v>
      </c>
      <c r="B478" s="1" t="s">
        <v>481</v>
      </c>
      <c r="C478" s="2">
        <v>2</v>
      </c>
      <c r="D478" s="1">
        <v>52.383299999999998</v>
      </c>
      <c r="E478" s="1">
        <v>8.9666999999999994</v>
      </c>
      <c r="F478" t="str">
        <f>_xlfn.XLOOKUP(Table6[[#This Row],[City]],Table9[city],Table9[admin_name])</f>
        <v>Nordrhein-Westfalen</v>
      </c>
    </row>
    <row r="479" spans="1:6" x14ac:dyDescent="0.55000000000000004">
      <c r="A479" s="2">
        <v>678</v>
      </c>
      <c r="B479" s="1" t="s">
        <v>482</v>
      </c>
      <c r="C479" s="2">
        <v>2</v>
      </c>
      <c r="D479" s="1">
        <v>51.2239</v>
      </c>
      <c r="E479" s="1">
        <v>6.9146999999999998</v>
      </c>
      <c r="F479" t="str">
        <f>_xlfn.XLOOKUP(Table6[[#This Row],[City]],Table9[city],Table9[admin_name])</f>
        <v>Nordrhein-Westfalen</v>
      </c>
    </row>
    <row r="480" spans="1:6" x14ac:dyDescent="0.55000000000000004">
      <c r="A480" s="2">
        <v>679</v>
      </c>
      <c r="B480" s="1" t="s">
        <v>483</v>
      </c>
      <c r="C480" s="2">
        <v>2</v>
      </c>
      <c r="D480" s="1">
        <v>52.15</v>
      </c>
      <c r="E480" s="1">
        <v>9.9499999999999993</v>
      </c>
      <c r="F480" t="str">
        <f>_xlfn.XLOOKUP(Table6[[#This Row],[City]],Table9[city],Table9[admin_name])</f>
        <v>Niedersachsen</v>
      </c>
    </row>
    <row r="481" spans="1:6" x14ac:dyDescent="0.55000000000000004">
      <c r="A481" s="2">
        <v>680</v>
      </c>
      <c r="B481" s="1" t="s">
        <v>109</v>
      </c>
      <c r="C481" s="2">
        <v>2</v>
      </c>
      <c r="D481" s="1">
        <v>49.35</v>
      </c>
      <c r="E481" s="1">
        <v>8.15</v>
      </c>
      <c r="F481" t="str">
        <f>_xlfn.XLOOKUP(Table6[[#This Row],[City]],Table9[city],Table9[admin_name])</f>
        <v>Baden-Württemberg</v>
      </c>
    </row>
    <row r="482" spans="1:6" x14ac:dyDescent="0.55000000000000004">
      <c r="A482" s="2">
        <v>681</v>
      </c>
      <c r="B482" s="1" t="s">
        <v>484</v>
      </c>
      <c r="C482" s="2">
        <v>2</v>
      </c>
      <c r="D482" s="1">
        <v>51.049300000000002</v>
      </c>
      <c r="E482" s="1">
        <v>13.7384</v>
      </c>
      <c r="F482" t="str">
        <f>_xlfn.XLOOKUP(Table6[[#This Row],[City]],Table9[city],Table9[admin_name])</f>
        <v>Sachsen</v>
      </c>
    </row>
    <row r="483" spans="1:6" x14ac:dyDescent="0.55000000000000004">
      <c r="A483" s="2">
        <v>682</v>
      </c>
      <c r="B483" s="1" t="s">
        <v>485</v>
      </c>
      <c r="C483" s="2">
        <v>2</v>
      </c>
      <c r="D483" s="1">
        <v>49.9</v>
      </c>
      <c r="E483" s="1">
        <v>8.6</v>
      </c>
      <c r="F483" t="str">
        <f>_xlfn.XLOOKUP(Table6[[#This Row],[City]],Table9[city],Table9[admin_name])</f>
        <v>Hessen</v>
      </c>
    </row>
    <row r="484" spans="1:6" x14ac:dyDescent="0.55000000000000004">
      <c r="A484" s="2">
        <v>683</v>
      </c>
      <c r="B484" s="1" t="s">
        <v>486</v>
      </c>
      <c r="C484" s="2">
        <v>2</v>
      </c>
      <c r="D484" s="1">
        <v>52.411700000000003</v>
      </c>
      <c r="E484" s="1">
        <v>12.556100000000001</v>
      </c>
      <c r="F484" t="str">
        <f>_xlfn.XLOOKUP(Table6[[#This Row],[City]],Table9[city],Table9[admin_name])</f>
        <v>Brandenburg</v>
      </c>
    </row>
    <row r="485" spans="1:6" x14ac:dyDescent="0.55000000000000004">
      <c r="A485" s="2">
        <v>684</v>
      </c>
      <c r="B485" s="1" t="s">
        <v>487</v>
      </c>
      <c r="C485" s="2">
        <v>2</v>
      </c>
      <c r="D485" s="1">
        <v>48.4833</v>
      </c>
      <c r="E485" s="1">
        <v>9.2166999999999994</v>
      </c>
      <c r="F485" t="str">
        <f>_xlfn.XLOOKUP(Table6[[#This Row],[City]],Table9[city],Table9[admin_name])</f>
        <v>Baden-Württemberg</v>
      </c>
    </row>
    <row r="486" spans="1:6" x14ac:dyDescent="0.55000000000000004">
      <c r="A486" s="2">
        <v>685</v>
      </c>
      <c r="B486" s="1" t="s">
        <v>488</v>
      </c>
      <c r="C486" s="2">
        <v>2</v>
      </c>
      <c r="D486" s="1">
        <v>50.816699999999997</v>
      </c>
      <c r="E486" s="1">
        <v>6.7667000000000002</v>
      </c>
      <c r="F486" t="str">
        <f>_xlfn.XLOOKUP(Table6[[#This Row],[City]],Table9[city],Table9[admin_name])</f>
        <v>Nordrhein-Westfalen</v>
      </c>
    </row>
    <row r="487" spans="1:6" x14ac:dyDescent="0.55000000000000004">
      <c r="A487" s="2">
        <v>686</v>
      </c>
      <c r="B487" s="1" t="s">
        <v>489</v>
      </c>
      <c r="C487" s="2">
        <v>2</v>
      </c>
      <c r="D487" s="1">
        <v>52.083100000000002</v>
      </c>
      <c r="E487" s="1">
        <v>13.166700000000001</v>
      </c>
      <c r="F487" t="str">
        <f>_xlfn.XLOOKUP(Table6[[#This Row],[City]],Table9[city],Table9[admin_name])</f>
        <v>Brandenburg</v>
      </c>
    </row>
    <row r="488" spans="1:6" x14ac:dyDescent="0.55000000000000004">
      <c r="A488" s="2">
        <v>687</v>
      </c>
      <c r="B488" s="1" t="s">
        <v>490</v>
      </c>
      <c r="C488" s="2">
        <v>2</v>
      </c>
      <c r="D488" s="1">
        <v>50.877499999999998</v>
      </c>
      <c r="E488" s="1">
        <v>6.8761000000000001</v>
      </c>
      <c r="F488" t="str">
        <f>_xlfn.XLOOKUP(Table6[[#This Row],[City]],Table9[city],Table9[admin_name])</f>
        <v>Nordrhein-Westfalen</v>
      </c>
    </row>
    <row r="489" spans="1:6" x14ac:dyDescent="0.55000000000000004">
      <c r="A489" s="2">
        <v>688</v>
      </c>
      <c r="B489" s="1" t="s">
        <v>491</v>
      </c>
      <c r="C489" s="2">
        <v>2</v>
      </c>
      <c r="D489" s="1">
        <v>54.083300000000001</v>
      </c>
      <c r="E489" s="1">
        <v>13.3833</v>
      </c>
      <c r="F489" t="str">
        <f>_xlfn.XLOOKUP(Table6[[#This Row],[City]],Table9[city],Table9[admin_name])</f>
        <v>Mecklenburg-Vorpommern</v>
      </c>
    </row>
    <row r="490" spans="1:6" x14ac:dyDescent="0.55000000000000004">
      <c r="A490" s="2">
        <v>689</v>
      </c>
      <c r="B490" s="1" t="s">
        <v>492</v>
      </c>
      <c r="C490" s="2">
        <v>2</v>
      </c>
      <c r="D490" s="1">
        <v>51.731900000000003</v>
      </c>
      <c r="E490" s="1">
        <v>6.5907999999999998</v>
      </c>
      <c r="F490" t="str">
        <f>_xlfn.XLOOKUP(Table6[[#This Row],[City]],Table9[city],Table9[admin_name])</f>
        <v>Nordrhein-Westfalen</v>
      </c>
    </row>
    <row r="491" spans="1:6" x14ac:dyDescent="0.55000000000000004">
      <c r="A491" s="2">
        <v>690</v>
      </c>
      <c r="B491" s="1" t="s">
        <v>493</v>
      </c>
      <c r="C491" s="2">
        <v>2</v>
      </c>
      <c r="D491" s="1">
        <v>48.402799999999999</v>
      </c>
      <c r="E491" s="1">
        <v>11.748900000000001</v>
      </c>
      <c r="F491" t="str">
        <f>_xlfn.XLOOKUP(Table6[[#This Row],[City]],Table9[city],Table9[admin_name])</f>
        <v>Bayern</v>
      </c>
    </row>
    <row r="492" spans="1:6" x14ac:dyDescent="0.55000000000000004">
      <c r="A492" s="2">
        <v>691</v>
      </c>
      <c r="B492" s="1" t="s">
        <v>494</v>
      </c>
      <c r="C492" s="2">
        <v>2</v>
      </c>
      <c r="D492" s="1">
        <v>53.230800000000002</v>
      </c>
      <c r="E492" s="1">
        <v>7.4527999999999999</v>
      </c>
      <c r="F492" t="str">
        <f>_xlfn.XLOOKUP(Table6[[#This Row],[City]],Table9[city],Table9[admin_name])</f>
        <v>Niedersachsen</v>
      </c>
    </row>
    <row r="493" spans="1:6" x14ac:dyDescent="0.55000000000000004">
      <c r="A493" s="2">
        <v>692</v>
      </c>
      <c r="B493" s="1" t="s">
        <v>495</v>
      </c>
      <c r="C493" s="2">
        <v>2</v>
      </c>
      <c r="D493" s="1">
        <v>48.283299999999997</v>
      </c>
      <c r="E493" s="1">
        <v>9.7235999999999994</v>
      </c>
      <c r="F493" t="str">
        <f>_xlfn.XLOOKUP(Table6[[#This Row],[City]],Table9[city],Table9[admin_name])</f>
        <v>Baden-Württemberg</v>
      </c>
    </row>
    <row r="494" spans="1:6" x14ac:dyDescent="0.55000000000000004">
      <c r="A494" s="2">
        <v>693</v>
      </c>
      <c r="B494" s="1" t="s">
        <v>496</v>
      </c>
      <c r="C494" s="2">
        <v>2</v>
      </c>
      <c r="D494" s="1">
        <v>50.316699999999997</v>
      </c>
      <c r="E494" s="1">
        <v>11.916700000000001</v>
      </c>
      <c r="F494" t="str">
        <f>_xlfn.XLOOKUP(Table6[[#This Row],[City]],Table9[city],Table9[admin_name])</f>
        <v>Bayern</v>
      </c>
    </row>
    <row r="495" spans="1:6" x14ac:dyDescent="0.55000000000000004">
      <c r="A495" s="2">
        <v>694</v>
      </c>
      <c r="B495" s="1" t="s">
        <v>497</v>
      </c>
      <c r="C495" s="2">
        <v>2</v>
      </c>
      <c r="D495" s="1">
        <v>48.1372</v>
      </c>
      <c r="E495" s="1">
        <v>11.5755</v>
      </c>
      <c r="F495" t="str">
        <f>_xlfn.XLOOKUP(Table6[[#This Row],[City]],Table9[city],Table9[admin_name])</f>
        <v>Bayern</v>
      </c>
    </row>
    <row r="496" spans="1:6" x14ac:dyDescent="0.55000000000000004">
      <c r="A496" s="2">
        <v>695</v>
      </c>
      <c r="B496" s="1" t="s">
        <v>498</v>
      </c>
      <c r="C496" s="2">
        <v>2</v>
      </c>
      <c r="D496" s="1">
        <v>50.266599999999997</v>
      </c>
      <c r="E496" s="1">
        <v>10.9666</v>
      </c>
      <c r="F496" t="str">
        <f>_xlfn.XLOOKUP(Table6[[#This Row],[City]],Table9[city],Table9[admin_name])</f>
        <v>Bayern</v>
      </c>
    </row>
    <row r="497" spans="1:6" x14ac:dyDescent="0.55000000000000004">
      <c r="A497" s="2">
        <v>696</v>
      </c>
      <c r="B497" s="1" t="s">
        <v>499</v>
      </c>
      <c r="C497" s="2">
        <v>2</v>
      </c>
      <c r="D497" s="1">
        <v>53.143900000000002</v>
      </c>
      <c r="E497" s="1">
        <v>8.2139000000000006</v>
      </c>
      <c r="F497" t="str">
        <f>_xlfn.XLOOKUP(Table6[[#This Row],[City]],Table9[city],Table9[admin_name])</f>
        <v>Niedersachsen</v>
      </c>
    </row>
    <row r="498" spans="1:6" x14ac:dyDescent="0.55000000000000004">
      <c r="A498" s="2">
        <v>697</v>
      </c>
      <c r="B498" s="1" t="s">
        <v>500</v>
      </c>
      <c r="C498" s="2">
        <v>2</v>
      </c>
      <c r="D498" s="1">
        <v>52.291699999999999</v>
      </c>
      <c r="E498" s="1">
        <v>13.625</v>
      </c>
      <c r="F498" t="str">
        <f>_xlfn.XLOOKUP(Table6[[#This Row],[City]],Table9[city],Table9[admin_name])</f>
        <v>Brandenburg</v>
      </c>
    </row>
    <row r="499" spans="1:6" x14ac:dyDescent="0.55000000000000004">
      <c r="A499" s="2">
        <v>698</v>
      </c>
      <c r="B499" s="1" t="s">
        <v>501</v>
      </c>
      <c r="C499" s="2">
        <v>2</v>
      </c>
      <c r="D499" s="1">
        <v>51.139200000000002</v>
      </c>
      <c r="E499" s="1">
        <v>7.2050999999999998</v>
      </c>
      <c r="F499" t="str">
        <f>_xlfn.XLOOKUP(Table6[[#This Row],[City]],Table9[city],Table9[admin_name])</f>
        <v>Nordrhein-Westfalen</v>
      </c>
    </row>
    <row r="500" spans="1:6" x14ac:dyDescent="0.55000000000000004">
      <c r="A500" s="2">
        <v>699</v>
      </c>
      <c r="B500" s="1" t="s">
        <v>502</v>
      </c>
      <c r="C500" s="2">
        <v>2</v>
      </c>
      <c r="D500" s="1">
        <v>52.580800000000004</v>
      </c>
      <c r="E500" s="1">
        <v>13.881399999999999</v>
      </c>
      <c r="F500" t="str">
        <f>_xlfn.XLOOKUP(Table6[[#This Row],[City]],Table9[city],Table9[admin_name])</f>
        <v>Brandenburg</v>
      </c>
    </row>
    <row r="501" spans="1:6" x14ac:dyDescent="0.55000000000000004">
      <c r="A501" s="2">
        <v>700</v>
      </c>
      <c r="B501" s="1" t="s">
        <v>503</v>
      </c>
      <c r="C501" s="2">
        <v>2</v>
      </c>
      <c r="D501" s="1">
        <v>52.203099999999999</v>
      </c>
      <c r="E501" s="1">
        <v>8.0447000000000006</v>
      </c>
      <c r="F501" t="str">
        <f>_xlfn.XLOOKUP(Table6[[#This Row],[City]],Table9[city],Table9[admin_name])</f>
        <v>Niedersachsen</v>
      </c>
    </row>
    <row r="502" spans="1:6" x14ac:dyDescent="0.55000000000000004">
      <c r="A502" s="2">
        <v>701</v>
      </c>
      <c r="B502" s="1" t="s">
        <v>504</v>
      </c>
      <c r="C502" s="2">
        <v>2</v>
      </c>
      <c r="D502" s="1">
        <v>48.722799999999999</v>
      </c>
      <c r="E502" s="1">
        <v>9.2630999999999997</v>
      </c>
      <c r="F502" t="str">
        <f>_xlfn.XLOOKUP(Table6[[#This Row],[City]],Table9[city],Table9[admin_name])</f>
        <v>Baden-Württemberg</v>
      </c>
    </row>
    <row r="503" spans="1:6" x14ac:dyDescent="0.55000000000000004">
      <c r="A503" s="2">
        <v>702</v>
      </c>
      <c r="B503" s="1" t="s">
        <v>505</v>
      </c>
      <c r="C503" s="2">
        <v>2</v>
      </c>
      <c r="D503" s="1">
        <v>49.1404</v>
      </c>
      <c r="E503" s="1">
        <v>9.218</v>
      </c>
      <c r="F503" t="str">
        <f>_xlfn.XLOOKUP(Table6[[#This Row],[City]],Table9[city],Table9[admin_name])</f>
        <v>Baden-Württemberg</v>
      </c>
    </row>
    <row r="504" spans="1:6" x14ac:dyDescent="0.55000000000000004">
      <c r="A504" s="2">
        <v>703</v>
      </c>
      <c r="B504" s="1" t="s">
        <v>506</v>
      </c>
      <c r="C504" s="2">
        <v>2</v>
      </c>
      <c r="D504" s="1">
        <v>50.58</v>
      </c>
      <c r="E504" s="1">
        <v>13.0022</v>
      </c>
      <c r="F504" t="str">
        <f>_xlfn.XLOOKUP(Table6[[#This Row],[City]],Table9[city],Table9[admin_name])</f>
        <v>Sachsen</v>
      </c>
    </row>
    <row r="505" spans="1:6" x14ac:dyDescent="0.55000000000000004">
      <c r="A505" s="2">
        <v>704</v>
      </c>
      <c r="B505" s="1" t="s">
        <v>507</v>
      </c>
      <c r="C505" s="2">
        <v>2</v>
      </c>
      <c r="D505" s="1">
        <v>49.594200000000001</v>
      </c>
      <c r="E505" s="1">
        <v>8.4671000000000003</v>
      </c>
      <c r="F505" t="str">
        <f>_xlfn.XLOOKUP(Table6[[#This Row],[City]],Table9[city],Table9[admin_name])</f>
        <v>Hessen</v>
      </c>
    </row>
    <row r="506" spans="1:6" x14ac:dyDescent="0.55000000000000004">
      <c r="A506" s="2">
        <v>705</v>
      </c>
      <c r="B506" s="1" t="s">
        <v>508</v>
      </c>
      <c r="C506" s="2">
        <v>2</v>
      </c>
      <c r="D506" s="1">
        <v>50.544699999999999</v>
      </c>
      <c r="E506" s="1">
        <v>7.1132999999999997</v>
      </c>
      <c r="F506" t="str">
        <f>_xlfn.XLOOKUP(Table6[[#This Row],[City]],Table9[city],Table9[admin_name])</f>
        <v>Rheinland-Pfalz</v>
      </c>
    </row>
    <row r="507" spans="1:6" x14ac:dyDescent="0.55000000000000004">
      <c r="A507" s="2">
        <v>706</v>
      </c>
      <c r="B507" s="1" t="s">
        <v>509</v>
      </c>
      <c r="C507" s="2">
        <v>2</v>
      </c>
      <c r="D507" s="1">
        <v>52.4238</v>
      </c>
      <c r="E507" s="1">
        <v>9.4359000000000002</v>
      </c>
      <c r="F507" t="str">
        <f>_xlfn.XLOOKUP(Table6[[#This Row],[City]],Table9[city],Table9[admin_name])</f>
        <v>Niedersachsen</v>
      </c>
    </row>
    <row r="508" spans="1:6" x14ac:dyDescent="0.55000000000000004">
      <c r="A508" s="2">
        <v>707</v>
      </c>
      <c r="B508" s="1" t="s">
        <v>510</v>
      </c>
      <c r="C508" s="2">
        <v>2</v>
      </c>
      <c r="D508" s="1">
        <v>51.25</v>
      </c>
      <c r="E508" s="1">
        <v>6.9667000000000003</v>
      </c>
      <c r="F508" t="str">
        <f>_xlfn.XLOOKUP(Table6[[#This Row],[City]],Table9[city],Table9[admin_name])</f>
        <v>Nordrhein-Westfalen</v>
      </c>
    </row>
    <row r="509" spans="1:6" x14ac:dyDescent="0.55000000000000004">
      <c r="A509" s="2">
        <v>708</v>
      </c>
      <c r="B509" s="1" t="s">
        <v>511</v>
      </c>
      <c r="C509" s="2">
        <v>2</v>
      </c>
      <c r="D509" s="1">
        <v>52.320300000000003</v>
      </c>
      <c r="E509" s="1">
        <v>10.233599999999999</v>
      </c>
      <c r="F509" t="str">
        <f>_xlfn.XLOOKUP(Table6[[#This Row],[City]],Table9[city],Table9[admin_name])</f>
        <v>Niedersachsen</v>
      </c>
    </row>
    <row r="510" spans="1:6" x14ac:dyDescent="0.55000000000000004">
      <c r="A510" s="2">
        <v>709</v>
      </c>
      <c r="B510" s="1" t="s">
        <v>512</v>
      </c>
      <c r="C510" s="2">
        <v>2</v>
      </c>
      <c r="D510" s="1">
        <v>50.025599999999997</v>
      </c>
      <c r="E510" s="1">
        <v>8.8841000000000001</v>
      </c>
      <c r="F510" t="str">
        <f>_xlfn.XLOOKUP(Table6[[#This Row],[City]],Table9[city],Table9[admin_name])</f>
        <v>Hessen</v>
      </c>
    </row>
    <row r="511" spans="1:6" x14ac:dyDescent="0.55000000000000004">
      <c r="A511" s="2">
        <v>710</v>
      </c>
      <c r="B511" s="1" t="s">
        <v>513</v>
      </c>
      <c r="C511" s="2">
        <v>2</v>
      </c>
      <c r="D511" s="1">
        <v>51.755800000000001</v>
      </c>
      <c r="E511" s="1">
        <v>8.0408000000000008</v>
      </c>
      <c r="F511" t="str">
        <f>_xlfn.XLOOKUP(Table6[[#This Row],[City]],Table9[city],Table9[admin_name])</f>
        <v>Nordrhein-Westfalen</v>
      </c>
    </row>
    <row r="512" spans="1:6" x14ac:dyDescent="0.55000000000000004">
      <c r="A512" s="2">
        <v>711</v>
      </c>
      <c r="B512" s="1" t="s">
        <v>514</v>
      </c>
      <c r="C512" s="2">
        <v>2</v>
      </c>
      <c r="D512" s="1">
        <v>51.760599999999997</v>
      </c>
      <c r="E512" s="1">
        <v>14.334199999999999</v>
      </c>
      <c r="F512" t="str">
        <f>_xlfn.XLOOKUP(Table6[[#This Row],[City]],Table9[city],Table9[admin_name])</f>
        <v>Brandenburg</v>
      </c>
    </row>
    <row r="513" spans="1:6" x14ac:dyDescent="0.55000000000000004">
      <c r="A513" s="2">
        <v>712</v>
      </c>
      <c r="B513" s="1" t="s">
        <v>515</v>
      </c>
      <c r="C513" s="2">
        <v>2</v>
      </c>
      <c r="D513" s="1">
        <v>49.294199999999996</v>
      </c>
      <c r="E513" s="1">
        <v>8.6982999999999997</v>
      </c>
      <c r="F513" t="str">
        <f>_xlfn.XLOOKUP(Table6[[#This Row],[City]],Table9[city],Table9[admin_name])</f>
        <v>Baden-Württemberg</v>
      </c>
    </row>
    <row r="514" spans="1:6" x14ac:dyDescent="0.55000000000000004">
      <c r="A514" s="2">
        <v>713</v>
      </c>
      <c r="B514" s="1" t="s">
        <v>516</v>
      </c>
      <c r="C514" s="2">
        <v>2</v>
      </c>
      <c r="D514" s="1">
        <v>52.408900000000003</v>
      </c>
      <c r="E514" s="1">
        <v>7.9728000000000003</v>
      </c>
      <c r="F514" t="str">
        <f>_xlfn.XLOOKUP(Table6[[#This Row],[City]],Table9[city],Table9[admin_name])</f>
        <v>Niedersachsen</v>
      </c>
    </row>
    <row r="515" spans="1:6" x14ac:dyDescent="0.55000000000000004">
      <c r="A515" s="2">
        <v>714</v>
      </c>
      <c r="B515" s="1" t="s">
        <v>517</v>
      </c>
      <c r="C515" s="2">
        <v>2</v>
      </c>
      <c r="D515" s="1">
        <v>51.867100000000001</v>
      </c>
      <c r="E515" s="1">
        <v>12.648400000000001</v>
      </c>
      <c r="F515" t="str">
        <f>_xlfn.XLOOKUP(Table6[[#This Row],[City]],Table9[city],Table9[admin_name])</f>
        <v>Sachsen-Anhalt</v>
      </c>
    </row>
    <row r="516" spans="1:6" x14ac:dyDescent="0.55000000000000004">
      <c r="A516" s="2">
        <v>715</v>
      </c>
      <c r="B516" s="1" t="s">
        <v>518</v>
      </c>
      <c r="C516" s="2">
        <v>2</v>
      </c>
      <c r="D516" s="1">
        <v>49.216700000000003</v>
      </c>
      <c r="E516" s="1">
        <v>8.3666999999999998</v>
      </c>
      <c r="F516" t="str">
        <f>_xlfn.XLOOKUP(Table6[[#This Row],[City]],Table9[city],Table9[admin_name])</f>
        <v>Rheinland-Pfalz</v>
      </c>
    </row>
    <row r="517" spans="1:6" x14ac:dyDescent="0.55000000000000004">
      <c r="A517" s="2">
        <v>716</v>
      </c>
      <c r="B517" s="1" t="s">
        <v>519</v>
      </c>
      <c r="C517" s="2">
        <v>2</v>
      </c>
      <c r="D517" s="1">
        <v>50.0715</v>
      </c>
      <c r="E517" s="1">
        <v>8.8482000000000003</v>
      </c>
      <c r="F517" t="str">
        <f>_xlfn.XLOOKUP(Table6[[#This Row],[City]],Table9[city],Table9[admin_name])</f>
        <v>Hessen</v>
      </c>
    </row>
    <row r="518" spans="1:6" x14ac:dyDescent="0.55000000000000004">
      <c r="A518" s="2">
        <v>717</v>
      </c>
      <c r="B518" s="1" t="s">
        <v>81</v>
      </c>
      <c r="C518" s="2">
        <v>2</v>
      </c>
      <c r="D518" s="1">
        <v>50.335299999999997</v>
      </c>
      <c r="E518" s="1">
        <v>8.7550000000000008</v>
      </c>
      <c r="F518" t="str">
        <f>_xlfn.XLOOKUP(Table6[[#This Row],[City]],Table9[city],Table9[admin_name])</f>
        <v>Bayern</v>
      </c>
    </row>
    <row r="519" spans="1:6" x14ac:dyDescent="0.55000000000000004">
      <c r="A519" s="2">
        <v>718</v>
      </c>
      <c r="B519" s="1" t="s">
        <v>520</v>
      </c>
      <c r="C519" s="2">
        <v>2</v>
      </c>
      <c r="D519" s="1">
        <v>49.452800000000003</v>
      </c>
      <c r="E519" s="1">
        <v>11.0778</v>
      </c>
      <c r="F519" t="str">
        <f>_xlfn.XLOOKUP(Table6[[#This Row],[City]],Table9[city],Table9[admin_name])</f>
        <v>Bayern</v>
      </c>
    </row>
    <row r="520" spans="1:6" x14ac:dyDescent="0.55000000000000004">
      <c r="A520" s="2">
        <v>719</v>
      </c>
      <c r="B520" s="1" t="s">
        <v>521</v>
      </c>
      <c r="C520" s="2">
        <v>2</v>
      </c>
      <c r="D520" s="1">
        <v>47.8078</v>
      </c>
      <c r="E520" s="1">
        <v>9.6417000000000002</v>
      </c>
      <c r="F520" t="str">
        <f>_xlfn.XLOOKUP(Table6[[#This Row],[City]],Table9[city],Table9[admin_name])</f>
        <v>Baden-Württemberg</v>
      </c>
    </row>
    <row r="521" spans="1:6" x14ac:dyDescent="0.55000000000000004">
      <c r="A521" s="2">
        <v>720</v>
      </c>
      <c r="B521" s="1" t="s">
        <v>522</v>
      </c>
      <c r="C521" s="2">
        <v>2</v>
      </c>
      <c r="D521" s="1">
        <v>52.269199999999998</v>
      </c>
      <c r="E521" s="1">
        <v>10.521100000000001</v>
      </c>
      <c r="F521" t="str">
        <f>_xlfn.XLOOKUP(Table6[[#This Row],[City]],Table9[city],Table9[admin_name])</f>
        <v>Niedersachsen</v>
      </c>
    </row>
    <row r="522" spans="1:6" x14ac:dyDescent="0.55000000000000004">
      <c r="A522" s="2">
        <v>721</v>
      </c>
      <c r="B522" s="1" t="s">
        <v>523</v>
      </c>
      <c r="C522" s="2">
        <v>2</v>
      </c>
      <c r="D522" s="1">
        <v>50.178100000000001</v>
      </c>
      <c r="E522" s="1">
        <v>8.7361000000000004</v>
      </c>
      <c r="F522" t="str">
        <f>_xlfn.XLOOKUP(Table6[[#This Row],[City]],Table9[city],Table9[admin_name])</f>
        <v>Hessen</v>
      </c>
    </row>
    <row r="523" spans="1:6" x14ac:dyDescent="0.55000000000000004">
      <c r="A523" s="2">
        <v>722</v>
      </c>
      <c r="B523" s="1" t="s">
        <v>524</v>
      </c>
      <c r="C523" s="2">
        <v>2</v>
      </c>
      <c r="D523" s="1">
        <v>51.231099999999998</v>
      </c>
      <c r="E523" s="1">
        <v>6.7724000000000002</v>
      </c>
      <c r="F523" t="str">
        <f>_xlfn.XLOOKUP(Table6[[#This Row],[City]],Table9[city],Table9[admin_name])</f>
        <v>Nordrhein-Westfalen</v>
      </c>
    </row>
    <row r="524" spans="1:6" x14ac:dyDescent="0.55000000000000004">
      <c r="A524" s="2">
        <v>723</v>
      </c>
      <c r="B524" s="1" t="s">
        <v>525</v>
      </c>
      <c r="C524" s="2">
        <v>2</v>
      </c>
      <c r="D524" s="1">
        <v>49.444699999999997</v>
      </c>
      <c r="E524" s="1">
        <v>7.7689000000000004</v>
      </c>
      <c r="F524" t="str">
        <f>_xlfn.XLOOKUP(Table6[[#This Row],[City]],Table9[city],Table9[admin_name])</f>
        <v>Rheinland-Pfalz</v>
      </c>
    </row>
    <row r="525" spans="1:6" x14ac:dyDescent="0.55000000000000004">
      <c r="A525" s="2">
        <v>724</v>
      </c>
      <c r="B525" s="1" t="s">
        <v>526</v>
      </c>
      <c r="C525" s="2">
        <v>2</v>
      </c>
      <c r="D525" s="1">
        <v>52.027700000000003</v>
      </c>
      <c r="E525" s="1">
        <v>8.9042999999999992</v>
      </c>
      <c r="F525" t="str">
        <f>_xlfn.XLOOKUP(Table6[[#This Row],[City]],Table9[city],Table9[admin_name])</f>
        <v>Nordrhein-Westfalen</v>
      </c>
    </row>
    <row r="526" spans="1:6" x14ac:dyDescent="0.55000000000000004">
      <c r="A526" s="2">
        <v>725</v>
      </c>
      <c r="B526" s="1" t="s">
        <v>527</v>
      </c>
      <c r="C526" s="2">
        <v>2</v>
      </c>
      <c r="D526" s="1">
        <v>48.702500000000001</v>
      </c>
      <c r="E526" s="1">
        <v>9.6527999999999992</v>
      </c>
      <c r="F526" t="str">
        <f>_xlfn.XLOOKUP(Table6[[#This Row],[City]],Table9[city],Table9[admin_name])</f>
        <v>Baden-Württemberg</v>
      </c>
    </row>
    <row r="527" spans="1:6" x14ac:dyDescent="0.55000000000000004">
      <c r="A527" s="2">
        <v>726</v>
      </c>
      <c r="B527" s="1" t="s">
        <v>528</v>
      </c>
      <c r="C527" s="2">
        <v>2</v>
      </c>
      <c r="D527" s="1">
        <v>49.348100000000002</v>
      </c>
      <c r="E527" s="1">
        <v>8.6911000000000005</v>
      </c>
      <c r="F527" t="str">
        <f>_xlfn.XLOOKUP(Table6[[#This Row],[City]],Table9[city],Table9[admin_name])</f>
        <v>Baden-Württemberg</v>
      </c>
    </row>
    <row r="528" spans="1:6" x14ac:dyDescent="0.55000000000000004">
      <c r="A528" s="2">
        <v>727</v>
      </c>
      <c r="B528" s="1" t="s">
        <v>529</v>
      </c>
      <c r="C528" s="2">
        <v>2</v>
      </c>
      <c r="D528" s="1">
        <v>50.834200000000003</v>
      </c>
      <c r="E528" s="1">
        <v>10.946400000000001</v>
      </c>
      <c r="F528" t="str">
        <f>_xlfn.XLOOKUP(Table6[[#This Row],[City]],Table9[city],Table9[admin_name])</f>
        <v>Thüringen</v>
      </c>
    </row>
    <row r="529" spans="1:6" x14ac:dyDescent="0.55000000000000004">
      <c r="A529" s="2">
        <v>728</v>
      </c>
      <c r="B529" s="1" t="s">
        <v>530</v>
      </c>
      <c r="C529" s="2">
        <v>2</v>
      </c>
      <c r="D529" s="1">
        <v>50.566699999999997</v>
      </c>
      <c r="E529" s="1">
        <v>8.5</v>
      </c>
      <c r="F529" t="str">
        <f>_xlfn.XLOOKUP(Table6[[#This Row],[City]],Table9[city],Table9[admin_name])</f>
        <v>Hessen</v>
      </c>
    </row>
    <row r="530" spans="1:6" x14ac:dyDescent="0.55000000000000004">
      <c r="A530" s="2">
        <v>729</v>
      </c>
      <c r="B530" s="1" t="s">
        <v>531</v>
      </c>
      <c r="C530" s="2">
        <v>2</v>
      </c>
      <c r="D530" s="1">
        <v>50.871899999999997</v>
      </c>
      <c r="E530" s="1">
        <v>6.6961000000000004</v>
      </c>
      <c r="F530" t="str">
        <f>_xlfn.XLOOKUP(Table6[[#This Row],[City]],Table9[city],Table9[admin_name])</f>
        <v>Nordrhein-Westfalen</v>
      </c>
    </row>
    <row r="531" spans="1:6" x14ac:dyDescent="0.55000000000000004">
      <c r="A531" s="2">
        <v>730</v>
      </c>
      <c r="B531" s="1" t="s">
        <v>532</v>
      </c>
      <c r="C531" s="2">
        <v>2</v>
      </c>
      <c r="D531" s="1">
        <v>50.716900000000003</v>
      </c>
      <c r="E531" s="1">
        <v>11.327500000000001</v>
      </c>
      <c r="F531" t="str">
        <f>_xlfn.XLOOKUP(Table6[[#This Row],[City]],Table9[city],Table9[admin_name])</f>
        <v>Thüringen</v>
      </c>
    </row>
    <row r="532" spans="1:6" x14ac:dyDescent="0.55000000000000004">
      <c r="A532" s="2">
        <v>731</v>
      </c>
      <c r="B532" s="1" t="s">
        <v>533</v>
      </c>
      <c r="C532" s="2">
        <v>2</v>
      </c>
      <c r="D532" s="1">
        <v>51.482799999999997</v>
      </c>
      <c r="E532" s="1">
        <v>11.9697</v>
      </c>
      <c r="F532" t="str">
        <f>_xlfn.XLOOKUP(Table6[[#This Row],[City]],Table9[city],Table9[admin_name])</f>
        <v>Sachsen-Anhalt</v>
      </c>
    </row>
    <row r="533" spans="1:6" x14ac:dyDescent="0.55000000000000004">
      <c r="A533" s="2">
        <v>732</v>
      </c>
      <c r="B533" s="1" t="s">
        <v>534</v>
      </c>
      <c r="C533" s="2">
        <v>2</v>
      </c>
      <c r="D533" s="1">
        <v>51.359400000000001</v>
      </c>
      <c r="E533" s="1">
        <v>7.4749999999999996</v>
      </c>
      <c r="F533" t="str">
        <f>_xlfn.XLOOKUP(Table6[[#This Row],[City]],Table9[city],Table9[admin_name])</f>
        <v>Nordrhein-Westfalen</v>
      </c>
    </row>
    <row r="534" spans="1:6" x14ac:dyDescent="0.55000000000000004">
      <c r="A534" s="2">
        <v>733</v>
      </c>
      <c r="B534" s="1" t="s">
        <v>535</v>
      </c>
      <c r="C534" s="2">
        <v>2</v>
      </c>
      <c r="D534" s="1">
        <v>52.0794</v>
      </c>
      <c r="E534" s="1">
        <v>7.0133999999999999</v>
      </c>
      <c r="F534" t="str">
        <f>_xlfn.XLOOKUP(Table6[[#This Row],[City]],Table9[city],Table9[admin_name])</f>
        <v>Nordrhein-Westfalen</v>
      </c>
    </row>
    <row r="535" spans="1:6" x14ac:dyDescent="0.55000000000000004">
      <c r="A535" s="2">
        <v>734</v>
      </c>
      <c r="B535" s="1" t="s">
        <v>536</v>
      </c>
      <c r="C535" s="2">
        <v>2</v>
      </c>
      <c r="D535" s="1">
        <v>52.5167</v>
      </c>
      <c r="E535" s="1">
        <v>13.3833</v>
      </c>
      <c r="F535" t="str">
        <f>_xlfn.XLOOKUP(Table6[[#This Row],[City]],Table9[city],Table9[admin_name])</f>
        <v>Berlin</v>
      </c>
    </row>
    <row r="536" spans="1:6" x14ac:dyDescent="0.55000000000000004">
      <c r="A536" s="2">
        <v>735</v>
      </c>
      <c r="B536" s="1" t="s">
        <v>537</v>
      </c>
      <c r="C536" s="2">
        <v>2</v>
      </c>
      <c r="D536" s="1">
        <v>48.383299999999998</v>
      </c>
      <c r="E536" s="1">
        <v>10</v>
      </c>
      <c r="F536" t="str">
        <f>_xlfn.XLOOKUP(Table6[[#This Row],[City]],Table9[city],Table9[admin_name])</f>
        <v>Bayern</v>
      </c>
    </row>
    <row r="537" spans="1:6" x14ac:dyDescent="0.55000000000000004">
      <c r="A537" s="2">
        <v>736</v>
      </c>
      <c r="B537" s="1" t="s">
        <v>538</v>
      </c>
      <c r="C537" s="2">
        <v>2</v>
      </c>
      <c r="D537" s="1">
        <v>53.115299999999998</v>
      </c>
      <c r="E537" s="1">
        <v>8.7974999999999994</v>
      </c>
      <c r="F537" t="str">
        <f>_xlfn.XLOOKUP(Table6[[#This Row],[City]],Table9[city],Table9[admin_name])</f>
        <v>Bremen</v>
      </c>
    </row>
    <row r="538" spans="1:6" x14ac:dyDescent="0.55000000000000004">
      <c r="A538" s="2">
        <v>737</v>
      </c>
      <c r="B538" s="1" t="s">
        <v>539</v>
      </c>
      <c r="C538" s="2">
        <v>2</v>
      </c>
      <c r="D538" s="1">
        <v>51.466700000000003</v>
      </c>
      <c r="E538" s="1">
        <v>11.3</v>
      </c>
      <c r="F538" t="str">
        <f>_xlfn.XLOOKUP(Table6[[#This Row],[City]],Table9[city],Table9[admin_name])</f>
        <v>Sachsen-Anhalt</v>
      </c>
    </row>
    <row r="539" spans="1:6" x14ac:dyDescent="0.55000000000000004">
      <c r="A539" s="2">
        <v>738</v>
      </c>
      <c r="B539" s="1" t="s">
        <v>540</v>
      </c>
      <c r="C539" s="2">
        <v>2</v>
      </c>
      <c r="D539" s="1">
        <v>47.833300000000001</v>
      </c>
      <c r="E539" s="1">
        <v>11.1333</v>
      </c>
      <c r="F539" t="str">
        <f>_xlfn.XLOOKUP(Table6[[#This Row],[City]],Table9[city],Table9[admin_name])</f>
        <v>Bayern</v>
      </c>
    </row>
    <row r="540" spans="1:6" x14ac:dyDescent="0.55000000000000004">
      <c r="A540" s="2">
        <v>739</v>
      </c>
      <c r="B540" s="1" t="s">
        <v>541</v>
      </c>
      <c r="C540" s="2">
        <v>2</v>
      </c>
      <c r="D540" s="1">
        <v>50.113599999999998</v>
      </c>
      <c r="E540" s="1">
        <v>8.6797000000000004</v>
      </c>
      <c r="F540" t="str">
        <f>_xlfn.XLOOKUP(Table6[[#This Row],[City]],Table9[city],Table9[admin_name])</f>
        <v>Hessen</v>
      </c>
    </row>
    <row r="541" spans="1:6" x14ac:dyDescent="0.55000000000000004">
      <c r="A541" s="2">
        <v>740</v>
      </c>
      <c r="B541" s="1" t="s">
        <v>542</v>
      </c>
      <c r="C541" s="2">
        <v>2</v>
      </c>
      <c r="D541" s="1">
        <v>51.302100000000003</v>
      </c>
      <c r="E541" s="1">
        <v>7.3425000000000002</v>
      </c>
      <c r="F541" t="str">
        <f>_xlfn.XLOOKUP(Table6[[#This Row],[City]],Table9[city],Table9[admin_name])</f>
        <v>Nordrhein-Westfalen</v>
      </c>
    </row>
    <row r="542" spans="1:6" x14ac:dyDescent="0.55000000000000004">
      <c r="A542" s="2">
        <v>741</v>
      </c>
      <c r="B542" s="1" t="s">
        <v>543</v>
      </c>
      <c r="C542" s="2">
        <v>2</v>
      </c>
      <c r="D542" s="1">
        <v>51.666699999999999</v>
      </c>
      <c r="E542" s="1">
        <v>7.6166999999999998</v>
      </c>
      <c r="F542" t="str">
        <f>_xlfn.XLOOKUP(Table6[[#This Row],[City]],Table9[city],Table9[admin_name])</f>
        <v>Nordrhein-Westfalen</v>
      </c>
    </row>
    <row r="543" spans="1:6" x14ac:dyDescent="0.55000000000000004">
      <c r="A543" s="2">
        <v>742</v>
      </c>
      <c r="B543" s="1" t="s">
        <v>544</v>
      </c>
      <c r="C543" s="2">
        <v>2</v>
      </c>
      <c r="D543" s="1">
        <v>48.740600000000001</v>
      </c>
      <c r="E543" s="1">
        <v>9.3108000000000004</v>
      </c>
      <c r="F543" t="str">
        <f>_xlfn.XLOOKUP(Table6[[#This Row],[City]],Table9[city],Table9[admin_name])</f>
        <v>Baden-Württemberg</v>
      </c>
    </row>
    <row r="544" spans="1:6" x14ac:dyDescent="0.55000000000000004">
      <c r="A544" s="2">
        <v>743</v>
      </c>
      <c r="B544" s="1" t="s">
        <v>545</v>
      </c>
      <c r="C544" s="2">
        <v>2</v>
      </c>
      <c r="D544" s="1">
        <v>51.7667</v>
      </c>
      <c r="E544" s="1">
        <v>8.5667000000000009</v>
      </c>
      <c r="F544" t="str">
        <f>_xlfn.XLOOKUP(Table6[[#This Row],[City]],Table9[city],Table9[admin_name])</f>
        <v>Nordrhein-Westfalen</v>
      </c>
    </row>
    <row r="545" spans="1:6" x14ac:dyDescent="0.55000000000000004">
      <c r="A545" s="2">
        <v>744</v>
      </c>
      <c r="B545" s="1" t="s">
        <v>546</v>
      </c>
      <c r="C545" s="2">
        <v>2</v>
      </c>
      <c r="D545" s="1">
        <v>51.6539</v>
      </c>
      <c r="E545" s="1">
        <v>7.3417000000000003</v>
      </c>
      <c r="F545" t="str">
        <f>_xlfn.XLOOKUP(Table6[[#This Row],[City]],Table9[city],Table9[admin_name])</f>
        <v>Nordrhein-Westfalen</v>
      </c>
    </row>
    <row r="546" spans="1:6" x14ac:dyDescent="0.55000000000000004">
      <c r="A546" s="2">
        <v>745</v>
      </c>
      <c r="B546" s="1" t="s">
        <v>547</v>
      </c>
      <c r="C546" s="2">
        <v>2</v>
      </c>
      <c r="D546" s="1">
        <v>51.123600000000003</v>
      </c>
      <c r="E546" s="1">
        <v>8.0680999999999994</v>
      </c>
      <c r="F546" t="str">
        <f>_xlfn.XLOOKUP(Table6[[#This Row],[City]],Table9[city],Table9[admin_name])</f>
        <v>Nordrhein-Westfalen</v>
      </c>
    </row>
    <row r="547" spans="1:6" x14ac:dyDescent="0.55000000000000004">
      <c r="A547" s="2">
        <v>746</v>
      </c>
      <c r="B547" s="1" t="s">
        <v>548</v>
      </c>
      <c r="C547" s="2">
        <v>2</v>
      </c>
      <c r="D547" s="1">
        <v>52.307699999999997</v>
      </c>
      <c r="E547" s="1">
        <v>9.8132999999999999</v>
      </c>
      <c r="F547" t="str">
        <f>_xlfn.XLOOKUP(Table6[[#This Row],[City]],Table9[city],Table9[admin_name])</f>
        <v>Niedersachsen</v>
      </c>
    </row>
    <row r="548" spans="1:6" x14ac:dyDescent="0.55000000000000004">
      <c r="A548" s="2">
        <v>747</v>
      </c>
      <c r="B548" s="1" t="s">
        <v>549</v>
      </c>
      <c r="C548" s="2">
        <v>2</v>
      </c>
      <c r="D548" s="1">
        <v>49.199399999999997</v>
      </c>
      <c r="E548" s="1">
        <v>8.1231000000000009</v>
      </c>
      <c r="F548" t="str">
        <f>_xlfn.XLOOKUP(Table6[[#This Row],[City]],Table9[city],Table9[admin_name])</f>
        <v>Rheinland-Pfalz</v>
      </c>
    </row>
    <row r="549" spans="1:6" x14ac:dyDescent="0.55000000000000004">
      <c r="A549" s="2">
        <v>748</v>
      </c>
      <c r="B549" s="1" t="s">
        <v>550</v>
      </c>
      <c r="C549" s="2">
        <v>2</v>
      </c>
      <c r="D549" s="1">
        <v>47.514200000000002</v>
      </c>
      <c r="E549" s="1">
        <v>10.281700000000001</v>
      </c>
      <c r="F549" t="str">
        <f>_xlfn.XLOOKUP(Table6[[#This Row],[City]],Table9[city],Table9[admin_name])</f>
        <v>Bayern</v>
      </c>
    </row>
    <row r="550" spans="1:6" x14ac:dyDescent="0.55000000000000004">
      <c r="A550" s="2">
        <v>749</v>
      </c>
      <c r="B550" s="1" t="s">
        <v>551</v>
      </c>
      <c r="C550" s="2">
        <v>2</v>
      </c>
      <c r="D550" s="1">
        <v>50.718899999999998</v>
      </c>
      <c r="E550" s="1">
        <v>12.4961</v>
      </c>
      <c r="F550" t="str">
        <f>_xlfn.XLOOKUP(Table6[[#This Row],[City]],Table9[city],Table9[admin_name])</f>
        <v>Sachsen</v>
      </c>
    </row>
    <row r="551" spans="1:6" x14ac:dyDescent="0.55000000000000004">
      <c r="A551" s="2">
        <v>750</v>
      </c>
      <c r="B551" s="1" t="s">
        <v>552</v>
      </c>
      <c r="C551" s="2">
        <v>2</v>
      </c>
      <c r="D551" s="1">
        <v>50.35</v>
      </c>
      <c r="E551" s="1">
        <v>11.166700000000001</v>
      </c>
      <c r="F551" t="str">
        <f>_xlfn.XLOOKUP(Table6[[#This Row],[City]],Table9[city],Table9[admin_name])</f>
        <v>Thüringen</v>
      </c>
    </row>
    <row r="552" spans="1:6" x14ac:dyDescent="0.55000000000000004">
      <c r="A552" s="2">
        <v>751</v>
      </c>
      <c r="B552" s="1" t="s">
        <v>553</v>
      </c>
      <c r="C552" s="2">
        <v>2</v>
      </c>
      <c r="D552" s="1">
        <v>52.228099999999998</v>
      </c>
      <c r="E552" s="1">
        <v>11.0106</v>
      </c>
      <c r="F552" t="str">
        <f>_xlfn.XLOOKUP(Table6[[#This Row],[City]],Table9[city],Table9[admin_name])</f>
        <v>Niedersachsen</v>
      </c>
    </row>
    <row r="553" spans="1:6" x14ac:dyDescent="0.55000000000000004">
      <c r="A553" s="2">
        <v>1</v>
      </c>
      <c r="B553" s="1" t="s">
        <v>554</v>
      </c>
      <c r="C553" s="2">
        <v>1</v>
      </c>
      <c r="D553" s="1">
        <v>51.2333</v>
      </c>
      <c r="E553" s="1">
        <v>22.566700000000001</v>
      </c>
      <c r="F553" t="str">
        <f>_xlfn.XLOOKUP(Table6[[#This Row],[City]],Table9[city],Table9[admin_name])</f>
        <v>Lublin</v>
      </c>
    </row>
    <row r="554" spans="1:6" x14ac:dyDescent="0.55000000000000004">
      <c r="A554" s="2">
        <v>2</v>
      </c>
      <c r="B554" s="1" t="s">
        <v>555</v>
      </c>
      <c r="C554" s="2">
        <v>1</v>
      </c>
      <c r="D554" s="1">
        <v>53.416699999999999</v>
      </c>
      <c r="E554" s="1">
        <v>18.433299999999999</v>
      </c>
      <c r="F554" t="str">
        <f>_xlfn.XLOOKUP(Table6[[#This Row],[City]],Table9[city],Table9[admin_name])</f>
        <v>Kuyavian-Pomeranian</v>
      </c>
    </row>
    <row r="555" spans="1:6" x14ac:dyDescent="0.55000000000000004">
      <c r="A555" s="2">
        <v>3</v>
      </c>
      <c r="B555" s="1" t="s">
        <v>556</v>
      </c>
      <c r="C555" s="2">
        <v>1</v>
      </c>
      <c r="D555" s="1">
        <v>50.083300000000001</v>
      </c>
      <c r="E555" s="1">
        <v>18.5</v>
      </c>
      <c r="F555" t="str">
        <f>_xlfn.XLOOKUP(Table6[[#This Row],[City]],Table9[city],Table9[admin_name])</f>
        <v>Silesian</v>
      </c>
    </row>
    <row r="556" spans="1:6" x14ac:dyDescent="0.55000000000000004">
      <c r="A556" s="2">
        <v>4</v>
      </c>
      <c r="B556" s="1" t="s">
        <v>557</v>
      </c>
      <c r="C556" s="2">
        <v>1</v>
      </c>
      <c r="D556" s="1">
        <v>50.333300000000001</v>
      </c>
      <c r="E556" s="1">
        <v>19.083300000000001</v>
      </c>
      <c r="F556" t="str">
        <f>_xlfn.XLOOKUP(Table6[[#This Row],[City]],Table9[city],Table9[admin_name])</f>
        <v>Silesian</v>
      </c>
    </row>
    <row r="557" spans="1:6" x14ac:dyDescent="0.55000000000000004">
      <c r="A557" s="2">
        <v>5</v>
      </c>
      <c r="B557" s="1" t="s">
        <v>558</v>
      </c>
      <c r="C557" s="2">
        <v>1</v>
      </c>
      <c r="D557" s="1">
        <v>53.78</v>
      </c>
      <c r="E557" s="1">
        <v>20.494199999999999</v>
      </c>
      <c r="F557" t="str">
        <f>_xlfn.XLOOKUP(Table6[[#This Row],[City]],Table9[city],Table9[admin_name])</f>
        <v>Warmian-Masurian</v>
      </c>
    </row>
    <row r="558" spans="1:6" x14ac:dyDescent="0.55000000000000004">
      <c r="A558" s="2">
        <v>6</v>
      </c>
      <c r="B558" s="1" t="s">
        <v>559</v>
      </c>
      <c r="C558" s="2">
        <v>1</v>
      </c>
      <c r="D558" s="1">
        <v>54.033299999999997</v>
      </c>
      <c r="E558" s="1">
        <v>22.5</v>
      </c>
      <c r="F558" t="str">
        <f>_xlfn.XLOOKUP(Table6[[#This Row],[City]],Table9[city],Table9[admin_name])</f>
        <v>Warmian-Masurian</v>
      </c>
    </row>
    <row r="559" spans="1:6" x14ac:dyDescent="0.55000000000000004">
      <c r="A559" s="2">
        <v>7</v>
      </c>
      <c r="B559" s="1" t="s">
        <v>560</v>
      </c>
      <c r="C559" s="2">
        <v>1</v>
      </c>
      <c r="D559" s="1">
        <v>52.7958</v>
      </c>
      <c r="E559" s="1">
        <v>18.261099999999999</v>
      </c>
      <c r="F559" t="str">
        <f>_xlfn.XLOOKUP(Table6[[#This Row],[City]],Table9[city],Table9[admin_name])</f>
        <v>Kuyavian-Pomeranian</v>
      </c>
    </row>
    <row r="560" spans="1:6" x14ac:dyDescent="0.55000000000000004">
      <c r="A560" s="2">
        <v>8</v>
      </c>
      <c r="B560" s="1" t="s">
        <v>561</v>
      </c>
      <c r="C560" s="2">
        <v>1</v>
      </c>
      <c r="D560" s="1">
        <v>52.881700000000002</v>
      </c>
      <c r="E560" s="1">
        <v>20.610600000000002</v>
      </c>
      <c r="F560" t="str">
        <f>_xlfn.XLOOKUP(Table6[[#This Row],[City]],Table9[city],Table9[admin_name])</f>
        <v>Masovian</v>
      </c>
    </row>
    <row r="561" spans="1:6" x14ac:dyDescent="0.55000000000000004">
      <c r="A561" s="2">
        <v>9</v>
      </c>
      <c r="B561" s="1" t="s">
        <v>562</v>
      </c>
      <c r="C561" s="2">
        <v>1</v>
      </c>
      <c r="D561" s="1">
        <v>53.3583</v>
      </c>
      <c r="E561" s="1">
        <v>20.425000000000001</v>
      </c>
      <c r="F561" t="str">
        <f>_xlfn.XLOOKUP(Table6[[#This Row],[City]],Table9[city],Table9[admin_name])</f>
        <v>Warmian-Masurian</v>
      </c>
    </row>
    <row r="562" spans="1:6" x14ac:dyDescent="0.55000000000000004">
      <c r="A562" s="2">
        <v>10</v>
      </c>
      <c r="B562" s="1" t="s">
        <v>563</v>
      </c>
      <c r="C562" s="2">
        <v>1</v>
      </c>
      <c r="D562" s="1">
        <v>50.061399999999999</v>
      </c>
      <c r="E562" s="1">
        <v>19.937200000000001</v>
      </c>
      <c r="F562" t="str">
        <f>_xlfn.XLOOKUP(Table6[[#This Row],[City]],Table9[city],Table9[admin_name])</f>
        <v>Lesser Poland</v>
      </c>
    </row>
    <row r="563" spans="1:6" x14ac:dyDescent="0.55000000000000004">
      <c r="A563" s="2">
        <v>11</v>
      </c>
      <c r="B563" s="1" t="s">
        <v>564</v>
      </c>
      <c r="C563" s="2">
        <v>1</v>
      </c>
      <c r="D563" s="1">
        <v>51.95</v>
      </c>
      <c r="E563" s="1">
        <v>14.7333</v>
      </c>
      <c r="F563" t="str">
        <f>_xlfn.XLOOKUP(Table6[[#This Row],[City]],Table9[city],Table9[admin_name])</f>
        <v>Lubusz</v>
      </c>
    </row>
    <row r="564" spans="1:6" x14ac:dyDescent="0.55000000000000004">
      <c r="A564" s="2">
        <v>12</v>
      </c>
      <c r="B564" s="1" t="s">
        <v>565</v>
      </c>
      <c r="C564" s="2">
        <v>1</v>
      </c>
      <c r="D564" s="1">
        <v>52.8</v>
      </c>
      <c r="E564" s="1">
        <v>21.9</v>
      </c>
      <c r="F564" t="str">
        <f>_xlfn.XLOOKUP(Table6[[#This Row],[City]],Table9[city],Table9[admin_name])</f>
        <v>Masovian</v>
      </c>
    </row>
    <row r="565" spans="1:6" x14ac:dyDescent="0.55000000000000004">
      <c r="A565" s="2">
        <v>13</v>
      </c>
      <c r="B565" s="1" t="s">
        <v>566</v>
      </c>
      <c r="C565" s="2">
        <v>1</v>
      </c>
      <c r="D565" s="1">
        <v>51.403599999999997</v>
      </c>
      <c r="E565" s="1">
        <v>21.156700000000001</v>
      </c>
      <c r="F565" t="str">
        <f>_xlfn.XLOOKUP(Table6[[#This Row],[City]],Table9[city],Table9[admin_name])</f>
        <v>Masovian</v>
      </c>
    </row>
    <row r="566" spans="1:6" x14ac:dyDescent="0.55000000000000004">
      <c r="A566" s="2">
        <v>14</v>
      </c>
      <c r="B566" s="1" t="s">
        <v>567</v>
      </c>
      <c r="C566" s="2">
        <v>1</v>
      </c>
      <c r="D566" s="1">
        <v>54.366700000000002</v>
      </c>
      <c r="E566" s="1">
        <v>18.633299999999998</v>
      </c>
      <c r="F566" t="str">
        <f>_xlfn.XLOOKUP(Table6[[#This Row],[City]],Table9[city],Table9[admin_name])</f>
        <v>Pomeranian</v>
      </c>
    </row>
    <row r="567" spans="1:6" x14ac:dyDescent="0.55000000000000004">
      <c r="A567" s="2">
        <v>15</v>
      </c>
      <c r="B567" s="1" t="s">
        <v>568</v>
      </c>
      <c r="C567" s="2">
        <v>1</v>
      </c>
      <c r="D567" s="1">
        <v>50.45</v>
      </c>
      <c r="E567" s="1">
        <v>18.866700000000002</v>
      </c>
      <c r="F567" t="str">
        <f>_xlfn.XLOOKUP(Table6[[#This Row],[City]],Table9[city],Table9[admin_name])</f>
        <v>Silesian</v>
      </c>
    </row>
    <row r="568" spans="1:6" x14ac:dyDescent="0.55000000000000004">
      <c r="A568" s="2">
        <v>16</v>
      </c>
      <c r="B568" s="1" t="s">
        <v>569</v>
      </c>
      <c r="C568" s="2">
        <v>1</v>
      </c>
      <c r="D568" s="1">
        <v>50.15</v>
      </c>
      <c r="E568" s="1">
        <v>18.833300000000001</v>
      </c>
      <c r="F568" t="str">
        <f>_xlfn.XLOOKUP(Table6[[#This Row],[City]],Table9[city],Table9[admin_name])</f>
        <v>Silesian</v>
      </c>
    </row>
    <row r="569" spans="1:6" x14ac:dyDescent="0.55000000000000004">
      <c r="A569" s="2">
        <v>17</v>
      </c>
      <c r="B569" s="1" t="s">
        <v>570</v>
      </c>
      <c r="C569" s="2">
        <v>1</v>
      </c>
      <c r="D569" s="1">
        <v>52.8</v>
      </c>
      <c r="E569" s="1">
        <v>17.2</v>
      </c>
      <c r="F569" t="str">
        <f>_xlfn.XLOOKUP(Table6[[#This Row],[City]],Table9[city],Table9[admin_name])</f>
        <v>Greater Poland</v>
      </c>
    </row>
    <row r="570" spans="1:6" x14ac:dyDescent="0.55000000000000004">
      <c r="A570" s="2">
        <v>18</v>
      </c>
      <c r="B570" s="1" t="s">
        <v>571</v>
      </c>
      <c r="C570" s="2">
        <v>1</v>
      </c>
      <c r="D570" s="1">
        <v>51.116700000000002</v>
      </c>
      <c r="E570" s="1">
        <v>15.583299999999999</v>
      </c>
      <c r="F570" t="str">
        <f>_xlfn.XLOOKUP(Table6[[#This Row],[City]],Table9[city],Table9[admin_name])</f>
        <v>Lower Silesian</v>
      </c>
    </row>
    <row r="571" spans="1:6" x14ac:dyDescent="0.55000000000000004">
      <c r="A571" s="2">
        <v>19</v>
      </c>
      <c r="B571" s="1" t="s">
        <v>572</v>
      </c>
      <c r="C571" s="2">
        <v>1</v>
      </c>
      <c r="D571" s="1">
        <v>51.126399999999997</v>
      </c>
      <c r="E571" s="1">
        <v>15.9198</v>
      </c>
      <c r="F571" t="str">
        <f>_xlfn.XLOOKUP(Table6[[#This Row],[City]],Table9[city],Table9[admin_name])</f>
        <v>Lower Silesian</v>
      </c>
    </row>
    <row r="572" spans="1:6" x14ac:dyDescent="0.55000000000000004">
      <c r="A572" s="2">
        <v>20</v>
      </c>
      <c r="B572" s="1" t="s">
        <v>573</v>
      </c>
      <c r="C572" s="2">
        <v>1</v>
      </c>
      <c r="D572" s="1">
        <v>53.864699999999999</v>
      </c>
      <c r="E572" s="1">
        <v>20.956900000000001</v>
      </c>
      <c r="F572" t="str">
        <f>_xlfn.XLOOKUP(Table6[[#This Row],[City]],Table9[city],Table9[admin_name])</f>
        <v>Warmian-Masurian</v>
      </c>
    </row>
    <row r="573" spans="1:6" x14ac:dyDescent="0.55000000000000004">
      <c r="A573" s="2">
        <v>21</v>
      </c>
      <c r="B573" s="1" t="s">
        <v>574</v>
      </c>
      <c r="C573" s="2">
        <v>1</v>
      </c>
      <c r="D573" s="1">
        <v>50.55</v>
      </c>
      <c r="E573" s="1">
        <v>22.7333</v>
      </c>
      <c r="F573" t="str">
        <f>_xlfn.XLOOKUP(Table6[[#This Row],[City]],Table9[city],Table9[admin_name])</f>
        <v>Lublin</v>
      </c>
    </row>
    <row r="574" spans="1:6" x14ac:dyDescent="0.55000000000000004">
      <c r="A574" s="2">
        <v>22</v>
      </c>
      <c r="B574" s="1" t="s">
        <v>575</v>
      </c>
      <c r="C574" s="2">
        <v>1</v>
      </c>
      <c r="D574" s="1">
        <v>53.833300000000001</v>
      </c>
      <c r="E574" s="1">
        <v>18.833300000000001</v>
      </c>
      <c r="F574" t="str">
        <f>_xlfn.XLOOKUP(Table6[[#This Row],[City]],Table9[city],Table9[admin_name])</f>
        <v>Pomeranian</v>
      </c>
    </row>
    <row r="575" spans="1:6" x14ac:dyDescent="0.55000000000000004">
      <c r="A575" s="2">
        <v>23</v>
      </c>
      <c r="B575" s="1" t="s">
        <v>576</v>
      </c>
      <c r="C575" s="2">
        <v>1</v>
      </c>
      <c r="D575" s="1">
        <v>51.2667</v>
      </c>
      <c r="E575" s="1">
        <v>15.566700000000001</v>
      </c>
      <c r="F575" t="str">
        <f>_xlfn.XLOOKUP(Table6[[#This Row],[City]],Table9[city],Table9[admin_name])</f>
        <v>Lower Silesian</v>
      </c>
    </row>
    <row r="576" spans="1:6" x14ac:dyDescent="0.55000000000000004">
      <c r="A576" s="2">
        <v>24</v>
      </c>
      <c r="B576" s="1" t="s">
        <v>577</v>
      </c>
      <c r="C576" s="2">
        <v>1</v>
      </c>
      <c r="D576" s="1">
        <v>50.843800000000002</v>
      </c>
      <c r="E576" s="1">
        <v>16.488600000000002</v>
      </c>
      <c r="F576" t="str">
        <f>_xlfn.XLOOKUP(Table6[[#This Row],[City]],Table9[city],Table9[admin_name])</f>
        <v>Lower Silesian</v>
      </c>
    </row>
    <row r="577" spans="1:6" x14ac:dyDescent="0.55000000000000004">
      <c r="A577" s="2">
        <v>25</v>
      </c>
      <c r="B577" s="1" t="s">
        <v>578</v>
      </c>
      <c r="C577" s="2">
        <v>1</v>
      </c>
      <c r="D577" s="1">
        <v>52.183300000000003</v>
      </c>
      <c r="E577" s="1">
        <v>20.85</v>
      </c>
      <c r="F577" t="str">
        <f>_xlfn.XLOOKUP(Table6[[#This Row],[City]],Table9[city],Table9[admin_name])</f>
        <v>Masovian</v>
      </c>
    </row>
    <row r="578" spans="1:6" x14ac:dyDescent="0.55000000000000004">
      <c r="A578" s="2">
        <v>26</v>
      </c>
      <c r="B578" s="1" t="s">
        <v>579</v>
      </c>
      <c r="C578" s="2">
        <v>1</v>
      </c>
      <c r="D578" s="1">
        <v>51.776899999999998</v>
      </c>
      <c r="E578" s="1">
        <v>19.454699999999999</v>
      </c>
      <c r="F578" t="str">
        <f>_xlfn.XLOOKUP(Table6[[#This Row],[City]],Table9[city],Table9[admin_name])</f>
        <v>Łódź</v>
      </c>
    </row>
    <row r="579" spans="1:6" x14ac:dyDescent="0.55000000000000004">
      <c r="A579" s="2">
        <v>27</v>
      </c>
      <c r="B579" s="1" t="s">
        <v>580</v>
      </c>
      <c r="C579" s="2">
        <v>1</v>
      </c>
      <c r="D579" s="1">
        <v>50.05</v>
      </c>
      <c r="E579" s="1">
        <v>22</v>
      </c>
      <c r="F579" t="str">
        <f>_xlfn.XLOOKUP(Table6[[#This Row],[City]],Table9[city],Table9[admin_name])</f>
        <v>Subcarpathian</v>
      </c>
    </row>
    <row r="580" spans="1:6" x14ac:dyDescent="0.55000000000000004">
      <c r="A580" s="2">
        <v>28</v>
      </c>
      <c r="B580" s="1" t="s">
        <v>581</v>
      </c>
      <c r="C580" s="2">
        <v>1</v>
      </c>
      <c r="D580" s="1">
        <v>50.1556</v>
      </c>
      <c r="E580" s="1">
        <v>23.123000000000001</v>
      </c>
      <c r="F580" t="str">
        <f>_xlfn.XLOOKUP(Table6[[#This Row],[City]],Table9[city],Table9[admin_name])</f>
        <v>Subcarpathian</v>
      </c>
    </row>
    <row r="581" spans="1:6" x14ac:dyDescent="0.55000000000000004">
      <c r="A581" s="2">
        <v>29</v>
      </c>
      <c r="B581" s="1" t="s">
        <v>582</v>
      </c>
      <c r="C581" s="2">
        <v>1</v>
      </c>
      <c r="D581" s="1">
        <v>51.2333</v>
      </c>
      <c r="E581" s="1">
        <v>22.7</v>
      </c>
      <c r="F581" t="str">
        <f>_xlfn.XLOOKUP(Table6[[#This Row],[City]],Table9[city],Table9[admin_name])</f>
        <v>Lublin</v>
      </c>
    </row>
    <row r="582" spans="1:6" x14ac:dyDescent="0.55000000000000004">
      <c r="A582" s="2">
        <v>30</v>
      </c>
      <c r="B582" s="1" t="s">
        <v>583</v>
      </c>
      <c r="C582" s="2">
        <v>1</v>
      </c>
      <c r="D582" s="1">
        <v>50.475099999999998</v>
      </c>
      <c r="E582" s="1">
        <v>17.965399999999999</v>
      </c>
      <c r="F582" t="str">
        <f>_xlfn.XLOOKUP(Table6[[#This Row],[City]],Table9[city],Table9[admin_name])</f>
        <v>Opole</v>
      </c>
    </row>
    <row r="583" spans="1:6" x14ac:dyDescent="0.55000000000000004">
      <c r="A583" s="2">
        <v>31</v>
      </c>
      <c r="B583" s="1" t="s">
        <v>584</v>
      </c>
      <c r="C583" s="2">
        <v>1</v>
      </c>
      <c r="D583" s="1">
        <v>50.866700000000002</v>
      </c>
      <c r="E583" s="1">
        <v>17.4833</v>
      </c>
      <c r="F583" t="str">
        <f>_xlfn.XLOOKUP(Table6[[#This Row],[City]],Table9[city],Table9[admin_name])</f>
        <v>Opole</v>
      </c>
    </row>
    <row r="584" spans="1:6" x14ac:dyDescent="0.55000000000000004">
      <c r="A584" s="2">
        <v>32</v>
      </c>
      <c r="B584" s="1" t="s">
        <v>585</v>
      </c>
      <c r="C584" s="2">
        <v>1</v>
      </c>
      <c r="D584" s="1">
        <v>49.299399999999999</v>
      </c>
      <c r="E584" s="1">
        <v>19.951899999999998</v>
      </c>
      <c r="F584" t="str">
        <f>_xlfn.XLOOKUP(Table6[[#This Row],[City]],Table9[city],Table9[admin_name])</f>
        <v>Lesser Poland</v>
      </c>
    </row>
    <row r="585" spans="1:6" x14ac:dyDescent="0.55000000000000004">
      <c r="A585" s="2">
        <v>33</v>
      </c>
      <c r="B585" s="1" t="s">
        <v>586</v>
      </c>
      <c r="C585" s="2">
        <v>1</v>
      </c>
      <c r="D585" s="1">
        <v>52.1417</v>
      </c>
      <c r="E585" s="1">
        <v>20.716699999999999</v>
      </c>
      <c r="F585" t="str">
        <f>_xlfn.XLOOKUP(Table6[[#This Row],[City]],Table9[city],Table9[admin_name])</f>
        <v>Masovian</v>
      </c>
    </row>
    <row r="586" spans="1:6" x14ac:dyDescent="0.55000000000000004">
      <c r="A586" s="2">
        <v>34</v>
      </c>
      <c r="B586" s="1" t="s">
        <v>587</v>
      </c>
      <c r="C586" s="2">
        <v>1</v>
      </c>
      <c r="D586" s="1">
        <v>49.822499999999998</v>
      </c>
      <c r="E586" s="1">
        <v>19.0444</v>
      </c>
      <c r="F586" t="str">
        <f>_xlfn.XLOOKUP(Table6[[#This Row],[City]],Table9[city],Table9[admin_name])</f>
        <v>Silesian</v>
      </c>
    </row>
    <row r="587" spans="1:6" x14ac:dyDescent="0.55000000000000004">
      <c r="A587" s="2">
        <v>35</v>
      </c>
      <c r="B587" s="1" t="s">
        <v>588</v>
      </c>
      <c r="C587" s="2">
        <v>1</v>
      </c>
      <c r="D587" s="1">
        <v>53.2667</v>
      </c>
      <c r="E587" s="1">
        <v>16.466699999999999</v>
      </c>
      <c r="F587" t="str">
        <f>_xlfn.XLOOKUP(Table6[[#This Row],[City]],Table9[city],Table9[admin_name])</f>
        <v>West Pomeranian</v>
      </c>
    </row>
    <row r="588" spans="1:6" x14ac:dyDescent="0.55000000000000004">
      <c r="A588" s="2">
        <v>36</v>
      </c>
      <c r="B588" s="1" t="s">
        <v>589</v>
      </c>
      <c r="C588" s="2">
        <v>1</v>
      </c>
      <c r="D588" s="1">
        <v>49.882100000000001</v>
      </c>
      <c r="E588" s="1">
        <v>19.223299999999998</v>
      </c>
      <c r="F588" t="str">
        <f>_xlfn.XLOOKUP(Table6[[#This Row],[City]],Table9[city],Table9[admin_name])</f>
        <v>Lesser Poland</v>
      </c>
    </row>
    <row r="589" spans="1:6" x14ac:dyDescent="0.55000000000000004">
      <c r="A589" s="2">
        <v>37</v>
      </c>
      <c r="B589" s="1" t="s">
        <v>590</v>
      </c>
      <c r="C589" s="2">
        <v>1</v>
      </c>
      <c r="D589" s="1">
        <v>50.8</v>
      </c>
      <c r="E589" s="1">
        <v>19.116700000000002</v>
      </c>
      <c r="F589" t="str">
        <f>_xlfn.XLOOKUP(Table6[[#This Row],[City]],Table9[city],Table9[admin_name])</f>
        <v>Silesian</v>
      </c>
    </row>
    <row r="590" spans="1:6" x14ac:dyDescent="0.55000000000000004">
      <c r="A590" s="2">
        <v>38</v>
      </c>
      <c r="B590" s="1" t="s">
        <v>591</v>
      </c>
      <c r="C590" s="2">
        <v>1</v>
      </c>
      <c r="D590" s="1">
        <v>51.366700000000002</v>
      </c>
      <c r="E590" s="1">
        <v>19.366700000000002</v>
      </c>
      <c r="F590" t="str">
        <f>_xlfn.XLOOKUP(Table6[[#This Row],[City]],Table9[city],Table9[admin_name])</f>
        <v>Łódź</v>
      </c>
    </row>
    <row r="591" spans="1:6" x14ac:dyDescent="0.55000000000000004">
      <c r="A591" s="2">
        <v>39</v>
      </c>
      <c r="B591" s="1" t="s">
        <v>592</v>
      </c>
      <c r="C591" s="2">
        <v>1</v>
      </c>
      <c r="D591" s="1">
        <v>53.2</v>
      </c>
      <c r="E591" s="1">
        <v>18.600000000000001</v>
      </c>
      <c r="F591" t="str">
        <f>_xlfn.XLOOKUP(Table6[[#This Row],[City]],Table9[city],Table9[admin_name])</f>
        <v>Kuyavian-Pomeranian</v>
      </c>
    </row>
    <row r="592" spans="1:6" x14ac:dyDescent="0.55000000000000004">
      <c r="A592" s="2">
        <v>40</v>
      </c>
      <c r="B592" s="1" t="s">
        <v>593</v>
      </c>
      <c r="C592" s="2">
        <v>1</v>
      </c>
      <c r="D592" s="1">
        <v>52.4</v>
      </c>
      <c r="E592" s="1">
        <v>16.916699999999999</v>
      </c>
      <c r="F592" t="str">
        <f>_xlfn.XLOOKUP(Table6[[#This Row],[City]],Table9[city],Table9[admin_name])</f>
        <v>Greater Poland</v>
      </c>
    </row>
    <row r="593" spans="1:6" x14ac:dyDescent="0.55000000000000004">
      <c r="A593" s="2">
        <v>41</v>
      </c>
      <c r="B593" s="1" t="s">
        <v>594</v>
      </c>
      <c r="C593" s="2">
        <v>1</v>
      </c>
      <c r="D593" s="1">
        <v>54.166699999999999</v>
      </c>
      <c r="E593" s="1">
        <v>19.399999999999999</v>
      </c>
      <c r="F593" t="str">
        <f>_xlfn.XLOOKUP(Table6[[#This Row],[City]],Table9[city],Table9[admin_name])</f>
        <v>Warmian-Masurian</v>
      </c>
    </row>
    <row r="594" spans="1:6" x14ac:dyDescent="0.55000000000000004">
      <c r="A594" s="2">
        <v>42</v>
      </c>
      <c r="B594" s="1" t="s">
        <v>595</v>
      </c>
      <c r="C594" s="2">
        <v>1</v>
      </c>
      <c r="D594" s="1">
        <v>52.883299999999998</v>
      </c>
      <c r="E594" s="1">
        <v>18.783300000000001</v>
      </c>
      <c r="F594" t="str">
        <f>_xlfn.XLOOKUP(Table6[[#This Row],[City]],Table9[city],Table9[admin_name])</f>
        <v>Kuyavian-Pomeranian</v>
      </c>
    </row>
    <row r="595" spans="1:6" x14ac:dyDescent="0.55000000000000004">
      <c r="A595" s="2">
        <v>43</v>
      </c>
      <c r="B595" s="1" t="s">
        <v>596</v>
      </c>
      <c r="C595" s="2">
        <v>1</v>
      </c>
      <c r="D595" s="1">
        <v>50.437800000000003</v>
      </c>
      <c r="E595" s="1">
        <v>16.652799999999999</v>
      </c>
      <c r="F595" t="str">
        <f>_xlfn.XLOOKUP(Table6[[#This Row],[City]],Table9[city],Table9[admin_name])</f>
        <v>Lower Silesian</v>
      </c>
    </row>
    <row r="596" spans="1:6" x14ac:dyDescent="0.55000000000000004">
      <c r="A596" s="2">
        <v>44</v>
      </c>
      <c r="B596" s="1" t="s">
        <v>597</v>
      </c>
      <c r="C596" s="2">
        <v>1</v>
      </c>
      <c r="D596" s="1">
        <v>53.755800000000001</v>
      </c>
      <c r="E596" s="1">
        <v>19.197500000000002</v>
      </c>
      <c r="F596" t="str">
        <f>_xlfn.XLOOKUP(Table6[[#This Row],[City]],Table9[city],Table9[admin_name])</f>
        <v>Pomeranian</v>
      </c>
    </row>
    <row r="597" spans="1:6" x14ac:dyDescent="0.55000000000000004">
      <c r="A597" s="2">
        <v>45</v>
      </c>
      <c r="B597" s="1" t="s">
        <v>598</v>
      </c>
      <c r="C597" s="2">
        <v>1</v>
      </c>
      <c r="D597" s="1">
        <v>50.3</v>
      </c>
      <c r="E597" s="1">
        <v>18.95</v>
      </c>
      <c r="F597" t="str">
        <f>_xlfn.XLOOKUP(Table6[[#This Row],[City]],Table9[city],Table9[admin_name])</f>
        <v>Silesian</v>
      </c>
    </row>
    <row r="598" spans="1:6" x14ac:dyDescent="0.55000000000000004">
      <c r="A598" s="2">
        <v>46</v>
      </c>
      <c r="B598" s="1" t="s">
        <v>599</v>
      </c>
      <c r="C598" s="2">
        <v>1</v>
      </c>
      <c r="D598" s="1">
        <v>53.4925</v>
      </c>
      <c r="E598" s="1">
        <v>18.7761</v>
      </c>
      <c r="F598" t="str">
        <f>_xlfn.XLOOKUP(Table6[[#This Row],[City]],Table9[city],Table9[admin_name])</f>
        <v>Kuyavian-Pomeranian</v>
      </c>
    </row>
    <row r="599" spans="1:6" x14ac:dyDescent="0.55000000000000004">
      <c r="A599" s="2">
        <v>47</v>
      </c>
      <c r="B599" s="1" t="s">
        <v>600</v>
      </c>
      <c r="C599" s="2">
        <v>1</v>
      </c>
      <c r="D599" s="1">
        <v>52.058300000000003</v>
      </c>
      <c r="E599" s="1">
        <v>19.2</v>
      </c>
      <c r="F599" t="str">
        <f>_xlfn.XLOOKUP(Table6[[#This Row],[City]],Table9[city],Table9[admin_name])</f>
        <v>Łódź</v>
      </c>
    </row>
    <row r="600" spans="1:6" x14ac:dyDescent="0.55000000000000004">
      <c r="A600" s="2">
        <v>48</v>
      </c>
      <c r="B600" s="1" t="s">
        <v>601</v>
      </c>
      <c r="C600" s="2">
        <v>1</v>
      </c>
      <c r="D600" s="1">
        <v>53.65</v>
      </c>
      <c r="E600" s="1">
        <v>17.366700000000002</v>
      </c>
      <c r="F600" t="str">
        <f>_xlfn.XLOOKUP(Table6[[#This Row],[City]],Table9[city],Table9[admin_name])</f>
        <v>Pomeranian</v>
      </c>
    </row>
    <row r="601" spans="1:6" x14ac:dyDescent="0.55000000000000004">
      <c r="A601" s="2">
        <v>49</v>
      </c>
      <c r="B601" s="1" t="s">
        <v>602</v>
      </c>
      <c r="C601" s="2">
        <v>1</v>
      </c>
      <c r="D601" s="1">
        <v>51.566699999999997</v>
      </c>
      <c r="E601" s="1">
        <v>21.8614</v>
      </c>
      <c r="F601" t="str">
        <f>_xlfn.XLOOKUP(Table6[[#This Row],[City]],Table9[city],Table9[admin_name])</f>
        <v>Lublin</v>
      </c>
    </row>
    <row r="602" spans="1:6" x14ac:dyDescent="0.55000000000000004">
      <c r="A602" s="2">
        <v>50</v>
      </c>
      <c r="B602" s="1" t="s">
        <v>603</v>
      </c>
      <c r="C602" s="2">
        <v>1</v>
      </c>
      <c r="D602" s="1">
        <v>53.916699999999999</v>
      </c>
      <c r="E602" s="1">
        <v>14.25</v>
      </c>
      <c r="F602" t="str">
        <f>_xlfn.XLOOKUP(Table6[[#This Row],[City]],Table9[city],Table9[admin_name])</f>
        <v>West Pomeranian</v>
      </c>
    </row>
    <row r="603" spans="1:6" x14ac:dyDescent="0.55000000000000004">
      <c r="A603" s="2">
        <v>51</v>
      </c>
      <c r="B603" s="1" t="s">
        <v>604</v>
      </c>
      <c r="C603" s="2">
        <v>1</v>
      </c>
      <c r="D603" s="1">
        <v>52.7333</v>
      </c>
      <c r="E603" s="1">
        <v>15.25</v>
      </c>
      <c r="F603" t="str">
        <f>_xlfn.XLOOKUP(Table6[[#This Row],[City]],Table9[city],Table9[admin_name])</f>
        <v>Lubusz</v>
      </c>
    </row>
    <row r="604" spans="1:6" x14ac:dyDescent="0.55000000000000004">
      <c r="A604" s="2">
        <v>52</v>
      </c>
      <c r="B604" s="1" t="s">
        <v>605</v>
      </c>
      <c r="C604" s="2">
        <v>1</v>
      </c>
      <c r="D604" s="1">
        <v>53.142099999999999</v>
      </c>
      <c r="E604" s="1">
        <v>17.601800000000001</v>
      </c>
      <c r="F604" t="str">
        <f>_xlfn.XLOOKUP(Table6[[#This Row],[City]],Table9[city],Table9[admin_name])</f>
        <v>Kuyavian-Pomeranian</v>
      </c>
    </row>
    <row r="605" spans="1:6" x14ac:dyDescent="0.55000000000000004">
      <c r="A605" s="2">
        <v>53</v>
      </c>
      <c r="B605" s="1" t="s">
        <v>606</v>
      </c>
      <c r="C605" s="2">
        <v>1</v>
      </c>
      <c r="D605" s="1">
        <v>53.252400000000002</v>
      </c>
      <c r="E605" s="1">
        <v>14.488300000000001</v>
      </c>
      <c r="F605" t="str">
        <f>_xlfn.XLOOKUP(Table6[[#This Row],[City]],Table9[city],Table9[admin_name])</f>
        <v>West Pomeranian</v>
      </c>
    </row>
    <row r="606" spans="1:6" x14ac:dyDescent="0.55000000000000004">
      <c r="A606" s="2">
        <v>54</v>
      </c>
      <c r="B606" s="1" t="s">
        <v>607</v>
      </c>
      <c r="C606" s="2">
        <v>1</v>
      </c>
      <c r="D606" s="1">
        <v>50.683300000000003</v>
      </c>
      <c r="E606" s="1">
        <v>21.75</v>
      </c>
      <c r="F606" t="str">
        <f>_xlfn.XLOOKUP(Table6[[#This Row],[City]],Table9[city],Table9[admin_name])</f>
        <v>Świętokrzyskie</v>
      </c>
    </row>
    <row r="607" spans="1:6" x14ac:dyDescent="0.55000000000000004">
      <c r="A607" s="2">
        <v>55</v>
      </c>
      <c r="B607" s="1" t="s">
        <v>608</v>
      </c>
      <c r="C607" s="2">
        <v>1</v>
      </c>
      <c r="D607" s="1">
        <v>53.969700000000003</v>
      </c>
      <c r="E607" s="1">
        <v>14.7858</v>
      </c>
      <c r="F607" t="str">
        <f>_xlfn.XLOOKUP(Table6[[#This Row],[City]],Table9[city],Table9[admin_name])</f>
        <v>West Pomeranian</v>
      </c>
    </row>
    <row r="608" spans="1:6" x14ac:dyDescent="0.55000000000000004">
      <c r="A608" s="2">
        <v>56</v>
      </c>
      <c r="B608" s="1" t="s">
        <v>609</v>
      </c>
      <c r="C608" s="2">
        <v>1</v>
      </c>
      <c r="D608" s="1">
        <v>50.583300000000001</v>
      </c>
      <c r="E608" s="1">
        <v>21.683299999999999</v>
      </c>
      <c r="F608" t="str">
        <f>_xlfn.XLOOKUP(Table6[[#This Row],[City]],Table9[city],Table9[admin_name])</f>
        <v>Subcarpathian</v>
      </c>
    </row>
    <row r="609" spans="1:6" x14ac:dyDescent="0.55000000000000004">
      <c r="A609" s="2">
        <v>57</v>
      </c>
      <c r="B609" s="1" t="s">
        <v>610</v>
      </c>
      <c r="C609" s="2">
        <v>1</v>
      </c>
      <c r="D609" s="1">
        <v>54.216700000000003</v>
      </c>
      <c r="E609" s="1">
        <v>21.75</v>
      </c>
      <c r="F609" t="str">
        <f>_xlfn.XLOOKUP(Table6[[#This Row],[City]],Table9[city],Table9[admin_name])</f>
        <v>Warmian-Masurian</v>
      </c>
    </row>
    <row r="610" spans="1:6" x14ac:dyDescent="0.55000000000000004">
      <c r="A610" s="2">
        <v>58</v>
      </c>
      <c r="B610" s="1" t="s">
        <v>611</v>
      </c>
      <c r="C610" s="2">
        <v>1</v>
      </c>
      <c r="D610" s="1">
        <v>54.441899999999997</v>
      </c>
      <c r="E610" s="1">
        <v>18.547799999999999</v>
      </c>
      <c r="F610" t="str">
        <f>_xlfn.XLOOKUP(Table6[[#This Row],[City]],Table9[city],Table9[admin_name])</f>
        <v>Pomeranian</v>
      </c>
    </row>
    <row r="611" spans="1:6" x14ac:dyDescent="0.55000000000000004">
      <c r="A611" s="2">
        <v>59</v>
      </c>
      <c r="B611" s="1" t="s">
        <v>612</v>
      </c>
      <c r="C611" s="2">
        <v>1</v>
      </c>
      <c r="D611" s="1">
        <v>51.305</v>
      </c>
      <c r="E611" s="1">
        <v>17.061399999999999</v>
      </c>
      <c r="F611" t="str">
        <f>_xlfn.XLOOKUP(Table6[[#This Row],[City]],Table9[city],Table9[admin_name])</f>
        <v>Lower Silesian</v>
      </c>
    </row>
    <row r="612" spans="1:6" x14ac:dyDescent="0.55000000000000004">
      <c r="A612" s="2">
        <v>60</v>
      </c>
      <c r="B612" s="1" t="s">
        <v>613</v>
      </c>
      <c r="C612" s="2">
        <v>1</v>
      </c>
      <c r="D612" s="1">
        <v>50.473799999999997</v>
      </c>
      <c r="E612" s="1">
        <v>17.334399999999999</v>
      </c>
      <c r="F612" t="str">
        <f>_xlfn.XLOOKUP(Table6[[#This Row],[City]],Table9[city],Table9[admin_name])</f>
        <v>Opole</v>
      </c>
    </row>
    <row r="613" spans="1:6" x14ac:dyDescent="0.55000000000000004">
      <c r="A613" s="2">
        <v>61</v>
      </c>
      <c r="B613" s="1" t="s">
        <v>614</v>
      </c>
      <c r="C613" s="2">
        <v>1</v>
      </c>
      <c r="D613" s="1">
        <v>52.333300000000001</v>
      </c>
      <c r="E613" s="1">
        <v>16.883299999999998</v>
      </c>
      <c r="F613" t="str">
        <f>_xlfn.XLOOKUP(Table6[[#This Row],[City]],Table9[city],Table9[admin_name])</f>
        <v>Greater Poland</v>
      </c>
    </row>
    <row r="614" spans="1:6" x14ac:dyDescent="0.55000000000000004">
      <c r="A614" s="2">
        <v>62</v>
      </c>
      <c r="B614" s="1" t="s">
        <v>615</v>
      </c>
      <c r="C614" s="2">
        <v>1</v>
      </c>
      <c r="D614" s="1">
        <v>52.2453</v>
      </c>
      <c r="E614" s="1">
        <v>19.6236</v>
      </c>
      <c r="F614" t="str">
        <f>_xlfn.XLOOKUP(Table6[[#This Row],[City]],Table9[city],Table9[admin_name])</f>
        <v>Łódź</v>
      </c>
    </row>
    <row r="615" spans="1:6" x14ac:dyDescent="0.55000000000000004">
      <c r="A615" s="2">
        <v>63</v>
      </c>
      <c r="B615" s="1" t="s">
        <v>616</v>
      </c>
      <c r="C615" s="2">
        <v>1</v>
      </c>
      <c r="D615" s="1">
        <v>51.2667</v>
      </c>
      <c r="E615" s="1">
        <v>15.933299999999999</v>
      </c>
      <c r="F615" t="str">
        <f>_xlfn.XLOOKUP(Table6[[#This Row],[City]],Table9[city],Table9[admin_name])</f>
        <v>Lower Silesian</v>
      </c>
    </row>
    <row r="616" spans="1:6" x14ac:dyDescent="0.55000000000000004">
      <c r="A616" s="2">
        <v>64</v>
      </c>
      <c r="B616" s="1" t="s">
        <v>617</v>
      </c>
      <c r="C616" s="2">
        <v>1</v>
      </c>
      <c r="D616" s="1">
        <v>52.124299999999998</v>
      </c>
      <c r="E616" s="1">
        <v>20.665400000000002</v>
      </c>
      <c r="F616" t="str">
        <f>_xlfn.XLOOKUP(Table6[[#This Row],[City]],Table9[city],Table9[admin_name])</f>
        <v>Masovian</v>
      </c>
    </row>
    <row r="617" spans="1:6" x14ac:dyDescent="0.55000000000000004">
      <c r="A617" s="2">
        <v>65</v>
      </c>
      <c r="B617" s="1" t="s">
        <v>618</v>
      </c>
      <c r="C617" s="2">
        <v>1</v>
      </c>
      <c r="D617" s="1">
        <v>53.562800000000003</v>
      </c>
      <c r="E617" s="1">
        <v>20.985299999999999</v>
      </c>
      <c r="F617" t="str">
        <f>_xlfn.XLOOKUP(Table6[[#This Row],[City]],Table9[city],Table9[admin_name])</f>
        <v>Warmian-Masurian</v>
      </c>
    </row>
    <row r="618" spans="1:6" x14ac:dyDescent="0.55000000000000004">
      <c r="A618" s="2">
        <v>66</v>
      </c>
      <c r="B618" s="1" t="s">
        <v>619</v>
      </c>
      <c r="C618" s="2">
        <v>1</v>
      </c>
      <c r="D618" s="1">
        <v>52.183300000000003</v>
      </c>
      <c r="E618" s="1">
        <v>22.283300000000001</v>
      </c>
      <c r="F618" t="str">
        <f>_xlfn.XLOOKUP(Table6[[#This Row],[City]],Table9[city],Table9[admin_name])</f>
        <v>Masovian</v>
      </c>
    </row>
    <row r="619" spans="1:6" x14ac:dyDescent="0.55000000000000004">
      <c r="A619" s="2">
        <v>67</v>
      </c>
      <c r="B619" s="1" t="s">
        <v>620</v>
      </c>
      <c r="C619" s="2">
        <v>1</v>
      </c>
      <c r="D619" s="1">
        <v>53.116700000000002</v>
      </c>
      <c r="E619" s="1">
        <v>23.166699999999999</v>
      </c>
      <c r="F619" t="str">
        <f>_xlfn.XLOOKUP(Table6[[#This Row],[City]],Table9[city],Table9[admin_name])</f>
        <v>Podlachian</v>
      </c>
    </row>
    <row r="620" spans="1:6" x14ac:dyDescent="0.55000000000000004">
      <c r="A620" s="2">
        <v>68</v>
      </c>
      <c r="B620" s="1" t="s">
        <v>621</v>
      </c>
      <c r="C620" s="2">
        <v>1</v>
      </c>
      <c r="D620" s="1">
        <v>52.702500000000001</v>
      </c>
      <c r="E620" s="1">
        <v>21.082799999999999</v>
      </c>
      <c r="F620" t="str">
        <f>_xlfn.XLOOKUP(Table6[[#This Row],[City]],Table9[city],Table9[admin_name])</f>
        <v>Masovian</v>
      </c>
    </row>
    <row r="621" spans="1:6" x14ac:dyDescent="0.55000000000000004">
      <c r="A621" s="2">
        <v>69</v>
      </c>
      <c r="B621" s="1" t="s">
        <v>622</v>
      </c>
      <c r="C621" s="2">
        <v>1</v>
      </c>
      <c r="D621" s="1">
        <v>50.323900000000002</v>
      </c>
      <c r="E621" s="1">
        <v>19.194700000000001</v>
      </c>
      <c r="F621" t="str">
        <f>_xlfn.XLOOKUP(Table6[[#This Row],[City]],Table9[city],Table9[admin_name])</f>
        <v>Silesian</v>
      </c>
    </row>
    <row r="622" spans="1:6" x14ac:dyDescent="0.55000000000000004">
      <c r="A622" s="2">
        <v>70</v>
      </c>
      <c r="B622" s="1" t="s">
        <v>623</v>
      </c>
      <c r="C622" s="2">
        <v>1</v>
      </c>
      <c r="D622" s="1">
        <v>51.783299999999997</v>
      </c>
      <c r="E622" s="1">
        <v>21.2</v>
      </c>
      <c r="F622" t="str">
        <f>_xlfn.XLOOKUP(Table6[[#This Row],[City]],Table9[city],Table9[admin_name])</f>
        <v>Masovian</v>
      </c>
    </row>
    <row r="623" spans="1:6" x14ac:dyDescent="0.55000000000000004">
      <c r="A623" s="2">
        <v>71</v>
      </c>
      <c r="B623" s="1" t="s">
        <v>624</v>
      </c>
      <c r="C623" s="2">
        <v>1</v>
      </c>
      <c r="D623" s="1">
        <v>53.416699999999999</v>
      </c>
      <c r="E623" s="1">
        <v>19.583300000000001</v>
      </c>
      <c r="F623" t="str">
        <f>_xlfn.XLOOKUP(Table6[[#This Row],[City]],Table9[city],Table9[admin_name])</f>
        <v>Warmian-Masurian</v>
      </c>
    </row>
    <row r="624" spans="1:6" x14ac:dyDescent="0.55000000000000004">
      <c r="A624" s="2">
        <v>72</v>
      </c>
      <c r="B624" s="1" t="s">
        <v>625</v>
      </c>
      <c r="C624" s="2">
        <v>1</v>
      </c>
      <c r="D624" s="1">
        <v>51.4</v>
      </c>
      <c r="E624" s="1">
        <v>19.683299999999999</v>
      </c>
      <c r="F624" t="str">
        <f>_xlfn.XLOOKUP(Table6[[#This Row],[City]],Table9[city],Table9[admin_name])</f>
        <v>Łódź</v>
      </c>
    </row>
    <row r="625" spans="1:6" x14ac:dyDescent="0.55000000000000004">
      <c r="A625" s="2">
        <v>73</v>
      </c>
      <c r="B625" s="1" t="s">
        <v>626</v>
      </c>
      <c r="C625" s="2">
        <v>1</v>
      </c>
      <c r="D625" s="1">
        <v>50.672199999999997</v>
      </c>
      <c r="E625" s="1">
        <v>17.9253</v>
      </c>
      <c r="F625" t="str">
        <f>_xlfn.XLOOKUP(Table6[[#This Row],[City]],Table9[city],Table9[admin_name])</f>
        <v>Opole</v>
      </c>
    </row>
    <row r="626" spans="1:6" x14ac:dyDescent="0.55000000000000004">
      <c r="A626" s="2">
        <v>74</v>
      </c>
      <c r="B626" s="1" t="s">
        <v>627</v>
      </c>
      <c r="C626" s="2">
        <v>1</v>
      </c>
      <c r="D626" s="1">
        <v>51.9833</v>
      </c>
      <c r="E626" s="1">
        <v>22.8</v>
      </c>
      <c r="F626" t="str">
        <f>_xlfn.XLOOKUP(Table6[[#This Row],[City]],Table9[city],Table9[admin_name])</f>
        <v>Lublin</v>
      </c>
    </row>
    <row r="627" spans="1:6" x14ac:dyDescent="0.55000000000000004">
      <c r="A627" s="2">
        <v>75</v>
      </c>
      <c r="B627" s="1" t="s">
        <v>628</v>
      </c>
      <c r="C627" s="2">
        <v>1</v>
      </c>
      <c r="D627" s="1">
        <v>52.253100000000003</v>
      </c>
      <c r="E627" s="1">
        <v>15.9178</v>
      </c>
      <c r="F627" t="str">
        <f>_xlfn.XLOOKUP(Table6[[#This Row],[City]],Table9[city],Table9[admin_name])</f>
        <v>Greater Poland</v>
      </c>
    </row>
    <row r="628" spans="1:6" x14ac:dyDescent="0.55000000000000004">
      <c r="A628" s="2">
        <v>76</v>
      </c>
      <c r="B628" s="1" t="s">
        <v>629</v>
      </c>
      <c r="C628" s="2">
        <v>1</v>
      </c>
      <c r="D628" s="1">
        <v>54.383299999999998</v>
      </c>
      <c r="E628" s="1">
        <v>19.833300000000001</v>
      </c>
      <c r="F628" t="str">
        <f>_xlfn.XLOOKUP(Table6[[#This Row],[City]],Table9[city],Table9[admin_name])</f>
        <v>Warmian-Masurian</v>
      </c>
    </row>
    <row r="629" spans="1:6" x14ac:dyDescent="0.55000000000000004">
      <c r="A629" s="2">
        <v>77</v>
      </c>
      <c r="B629" s="1" t="s">
        <v>630</v>
      </c>
      <c r="C629" s="2">
        <v>1</v>
      </c>
      <c r="D629" s="1">
        <v>50.297600000000003</v>
      </c>
      <c r="E629" s="1">
        <v>18.676600000000001</v>
      </c>
      <c r="F629" t="str">
        <f>_xlfn.XLOOKUP(Table6[[#This Row],[City]],Table9[city],Table9[admin_name])</f>
        <v>Silesian</v>
      </c>
    </row>
    <row r="630" spans="1:6" x14ac:dyDescent="0.55000000000000004">
      <c r="A630" s="2">
        <v>78</v>
      </c>
      <c r="B630" s="1" t="s">
        <v>631</v>
      </c>
      <c r="C630" s="2">
        <v>1</v>
      </c>
      <c r="D630" s="1">
        <v>49.75</v>
      </c>
      <c r="E630" s="1">
        <v>18.633299999999998</v>
      </c>
      <c r="F630" t="str">
        <f>_xlfn.XLOOKUP(Table6[[#This Row],[City]],Table9[city],Table9[admin_name])</f>
        <v>Silesian</v>
      </c>
    </row>
    <row r="631" spans="1:6" x14ac:dyDescent="0.55000000000000004">
      <c r="A631" s="2">
        <v>79</v>
      </c>
      <c r="B631" s="1" t="s">
        <v>632</v>
      </c>
      <c r="C631" s="2">
        <v>1</v>
      </c>
      <c r="D631" s="1">
        <v>51.8</v>
      </c>
      <c r="E631" s="1">
        <v>16.3</v>
      </c>
      <c r="F631" t="str">
        <f>_xlfn.XLOOKUP(Table6[[#This Row],[City]],Table9[city],Table9[admin_name])</f>
        <v>Lubusz</v>
      </c>
    </row>
    <row r="632" spans="1:6" x14ac:dyDescent="0.55000000000000004">
      <c r="A632" s="2">
        <v>80</v>
      </c>
      <c r="B632" s="1" t="s">
        <v>633</v>
      </c>
      <c r="C632" s="2">
        <v>1</v>
      </c>
      <c r="D632" s="1">
        <v>53.349200000000003</v>
      </c>
      <c r="E632" s="1">
        <v>18.426100000000002</v>
      </c>
      <c r="F632" t="str">
        <f>_xlfn.XLOOKUP(Table6[[#This Row],[City]],Table9[city],Table9[admin_name])</f>
        <v>Kuyavian-Pomeranian</v>
      </c>
    </row>
    <row r="633" spans="1:6" x14ac:dyDescent="0.55000000000000004">
      <c r="A633" s="2">
        <v>81</v>
      </c>
      <c r="B633" s="1" t="s">
        <v>634</v>
      </c>
      <c r="C633" s="2">
        <v>1</v>
      </c>
      <c r="D633" s="1">
        <v>50.313099999999999</v>
      </c>
      <c r="E633" s="1">
        <v>17.374199999999998</v>
      </c>
      <c r="F633" t="str">
        <f>_xlfn.XLOOKUP(Table6[[#This Row],[City]],Table9[city],Table9[admin_name])</f>
        <v>Opole</v>
      </c>
    </row>
    <row r="634" spans="1:6" x14ac:dyDescent="0.55000000000000004">
      <c r="A634" s="2">
        <v>82</v>
      </c>
      <c r="B634" s="1" t="s">
        <v>635</v>
      </c>
      <c r="C634" s="2">
        <v>1</v>
      </c>
      <c r="D634" s="1">
        <v>53.816699999999997</v>
      </c>
      <c r="E634" s="1">
        <v>22.35</v>
      </c>
      <c r="F634" t="str">
        <f>_xlfn.XLOOKUP(Table6[[#This Row],[City]],Table9[city],Table9[admin_name])</f>
        <v>Warmian-Masurian</v>
      </c>
    </row>
    <row r="635" spans="1:6" x14ac:dyDescent="0.55000000000000004">
      <c r="A635" s="2">
        <v>83</v>
      </c>
      <c r="B635" s="1" t="s">
        <v>636</v>
      </c>
      <c r="C635" s="2">
        <v>1</v>
      </c>
      <c r="D635" s="1">
        <v>50.6</v>
      </c>
      <c r="E635" s="1">
        <v>17.0444</v>
      </c>
      <c r="F635" t="str">
        <f>_xlfn.XLOOKUP(Table6[[#This Row],[City]],Table9[city],Table9[admin_name])</f>
        <v>Lower Silesian</v>
      </c>
    </row>
    <row r="636" spans="1:6" x14ac:dyDescent="0.55000000000000004">
      <c r="A636" s="2">
        <v>84</v>
      </c>
      <c r="B636" s="1" t="s">
        <v>637</v>
      </c>
      <c r="C636" s="2">
        <v>1</v>
      </c>
      <c r="D636" s="1">
        <v>51.383299999999998</v>
      </c>
      <c r="E636" s="1">
        <v>20.283300000000001</v>
      </c>
      <c r="F636" t="str">
        <f>_xlfn.XLOOKUP(Table6[[#This Row],[City]],Table9[city],Table9[admin_name])</f>
        <v>Łódź</v>
      </c>
    </row>
    <row r="637" spans="1:6" x14ac:dyDescent="0.55000000000000004">
      <c r="A637" s="2">
        <v>85</v>
      </c>
      <c r="B637" s="1" t="s">
        <v>638</v>
      </c>
      <c r="C637" s="2">
        <v>1</v>
      </c>
      <c r="D637" s="1">
        <v>49.784999999999997</v>
      </c>
      <c r="E637" s="1">
        <v>22.767299999999999</v>
      </c>
      <c r="F637" t="str">
        <f>_xlfn.XLOOKUP(Table6[[#This Row],[City]],Table9[city],Table9[admin_name])</f>
        <v>Subcarpathian</v>
      </c>
    </row>
    <row r="638" spans="1:6" x14ac:dyDescent="0.55000000000000004">
      <c r="A638" s="2">
        <v>86</v>
      </c>
      <c r="B638" s="1" t="s">
        <v>639</v>
      </c>
      <c r="C638" s="2">
        <v>1</v>
      </c>
      <c r="D638" s="1">
        <v>50.016199999999998</v>
      </c>
      <c r="E638" s="1">
        <v>22.677800000000001</v>
      </c>
      <c r="F638" t="str">
        <f>_xlfn.XLOOKUP(Table6[[#This Row],[City]],Table9[city],Table9[admin_name])</f>
        <v>Subcarpathian</v>
      </c>
    </row>
    <row r="639" spans="1:6" x14ac:dyDescent="0.55000000000000004">
      <c r="A639" s="2">
        <v>87</v>
      </c>
      <c r="B639" s="1" t="s">
        <v>640</v>
      </c>
      <c r="C639" s="2">
        <v>1</v>
      </c>
      <c r="D639" s="1">
        <v>54.566699999999997</v>
      </c>
      <c r="E639" s="1">
        <v>18.399999999999999</v>
      </c>
      <c r="F639" t="str">
        <f>_xlfn.XLOOKUP(Table6[[#This Row],[City]],Table9[city],Table9[admin_name])</f>
        <v>Pomeranian</v>
      </c>
    </row>
    <row r="640" spans="1:6" x14ac:dyDescent="0.55000000000000004">
      <c r="A640" s="2">
        <v>88</v>
      </c>
      <c r="B640" s="1" t="s">
        <v>641</v>
      </c>
      <c r="C640" s="2">
        <v>1</v>
      </c>
      <c r="D640" s="1">
        <v>52.2333</v>
      </c>
      <c r="E640" s="1">
        <v>19.366700000000002</v>
      </c>
      <c r="F640" t="str">
        <f>_xlfn.XLOOKUP(Table6[[#This Row],[City]],Table9[city],Table9[admin_name])</f>
        <v>Łódź</v>
      </c>
    </row>
    <row r="641" spans="1:6" x14ac:dyDescent="0.55000000000000004">
      <c r="A641" s="2">
        <v>89</v>
      </c>
      <c r="B641" s="1" t="s">
        <v>642</v>
      </c>
      <c r="C641" s="2">
        <v>1</v>
      </c>
      <c r="D641" s="1">
        <v>54.416699999999999</v>
      </c>
      <c r="E641" s="1">
        <v>16.416699999999999</v>
      </c>
      <c r="F641" t="str">
        <f>_xlfn.XLOOKUP(Table6[[#This Row],[City]],Table9[city],Table9[admin_name])</f>
        <v>West Pomeranian</v>
      </c>
    </row>
    <row r="642" spans="1:6" x14ac:dyDescent="0.55000000000000004">
      <c r="A642" s="2">
        <v>90</v>
      </c>
      <c r="B642" s="1" t="s">
        <v>643</v>
      </c>
      <c r="C642" s="2">
        <v>1</v>
      </c>
      <c r="D642" s="1">
        <v>51.107700000000001</v>
      </c>
      <c r="E642" s="1">
        <v>17.035299999999999</v>
      </c>
      <c r="F642" t="str">
        <f>_xlfn.XLOOKUP(Table6[[#This Row],[City]],Table9[city],Table9[admin_name])</f>
        <v>Lower Silesian</v>
      </c>
    </row>
    <row r="643" spans="1:6" x14ac:dyDescent="0.55000000000000004">
      <c r="A643" s="2">
        <v>91</v>
      </c>
      <c r="B643" s="1" t="s">
        <v>644</v>
      </c>
      <c r="C643" s="2">
        <v>1</v>
      </c>
      <c r="D643" s="1">
        <v>51</v>
      </c>
      <c r="E643" s="1">
        <v>16.333300000000001</v>
      </c>
      <c r="F643" t="str">
        <f>_xlfn.XLOOKUP(Table6[[#This Row],[City]],Table9[city],Table9[admin_name])</f>
        <v>Lower Silesian</v>
      </c>
    </row>
    <row r="644" spans="1:6" x14ac:dyDescent="0.55000000000000004">
      <c r="A644" s="2">
        <v>92</v>
      </c>
      <c r="B644" s="1" t="s">
        <v>645</v>
      </c>
      <c r="C644" s="2">
        <v>1</v>
      </c>
      <c r="D644" s="1">
        <v>52.7667</v>
      </c>
      <c r="E644" s="1">
        <v>23.2</v>
      </c>
      <c r="F644" t="str">
        <f>_xlfn.XLOOKUP(Table6[[#This Row],[City]],Table9[city],Table9[admin_name])</f>
        <v>Podlachian</v>
      </c>
    </row>
    <row r="645" spans="1:6" x14ac:dyDescent="0.55000000000000004">
      <c r="A645" s="2">
        <v>93</v>
      </c>
      <c r="B645" s="1" t="s">
        <v>646</v>
      </c>
      <c r="C645" s="2">
        <v>1</v>
      </c>
      <c r="D645" s="1">
        <v>54.166699999999999</v>
      </c>
      <c r="E645" s="1">
        <v>17.5</v>
      </c>
      <c r="F645" t="str">
        <f>_xlfn.XLOOKUP(Table6[[#This Row],[City]],Table9[city],Table9[admin_name])</f>
        <v>Pomeranian</v>
      </c>
    </row>
    <row r="646" spans="1:6" x14ac:dyDescent="0.55000000000000004">
      <c r="A646" s="2">
        <v>94</v>
      </c>
      <c r="B646" s="1" t="s">
        <v>647</v>
      </c>
      <c r="C646" s="2">
        <v>1</v>
      </c>
      <c r="D646" s="1">
        <v>51.152799999999999</v>
      </c>
      <c r="E646" s="1">
        <v>15</v>
      </c>
      <c r="F646" t="str">
        <f>_xlfn.XLOOKUP(Table6[[#This Row],[City]],Table9[city],Table9[admin_name])</f>
        <v>Lower Silesian</v>
      </c>
    </row>
    <row r="647" spans="1:6" x14ac:dyDescent="0.55000000000000004">
      <c r="A647" s="2">
        <v>95</v>
      </c>
      <c r="B647" s="1" t="s">
        <v>648</v>
      </c>
      <c r="C647" s="2">
        <v>1</v>
      </c>
      <c r="D647" s="1">
        <v>51.030799999999999</v>
      </c>
      <c r="E647" s="1">
        <v>15.420199999999999</v>
      </c>
      <c r="F647" t="str">
        <f>_xlfn.XLOOKUP(Table6[[#This Row],[City]],Table9[city],Table9[admin_name])</f>
        <v>Lower Silesian</v>
      </c>
    </row>
    <row r="648" spans="1:6" x14ac:dyDescent="0.55000000000000004">
      <c r="A648" s="2">
        <v>96</v>
      </c>
      <c r="B648" s="1" t="s">
        <v>649</v>
      </c>
      <c r="C648" s="2">
        <v>1</v>
      </c>
      <c r="D648" s="1">
        <v>52.65</v>
      </c>
      <c r="E648" s="1">
        <v>19.05</v>
      </c>
      <c r="F648" t="str">
        <f>_xlfn.XLOOKUP(Table6[[#This Row],[City]],Table9[city],Table9[admin_name])</f>
        <v>Kuyavian-Pomeranian</v>
      </c>
    </row>
    <row r="649" spans="1:6" x14ac:dyDescent="0.55000000000000004">
      <c r="A649" s="2">
        <v>97</v>
      </c>
      <c r="B649" s="1" t="s">
        <v>650</v>
      </c>
      <c r="C649" s="2">
        <v>1</v>
      </c>
      <c r="D649" s="1">
        <v>51.3</v>
      </c>
      <c r="E649" s="1">
        <v>22.883299999999998</v>
      </c>
      <c r="F649" t="str">
        <f>_xlfn.XLOOKUP(Table6[[#This Row],[City]],Table9[city],Table9[admin_name])</f>
        <v>Lublin</v>
      </c>
    </row>
    <row r="650" spans="1:6" x14ac:dyDescent="0.55000000000000004">
      <c r="A650" s="2">
        <v>98</v>
      </c>
      <c r="B650" s="1" t="s">
        <v>651</v>
      </c>
      <c r="C650" s="2">
        <v>1</v>
      </c>
      <c r="D650" s="1">
        <v>50.033900000000003</v>
      </c>
      <c r="E650" s="1">
        <v>20.217199999999998</v>
      </c>
      <c r="F650" t="str">
        <f>_xlfn.XLOOKUP(Table6[[#This Row],[City]],Table9[city],Table9[admin_name])</f>
        <v>Lesser Poland</v>
      </c>
    </row>
    <row r="651" spans="1:6" x14ac:dyDescent="0.55000000000000004">
      <c r="A651" s="2">
        <v>99</v>
      </c>
      <c r="B651" s="1" t="s">
        <v>652</v>
      </c>
      <c r="C651" s="2">
        <v>1</v>
      </c>
      <c r="D651" s="1">
        <v>50.9833</v>
      </c>
      <c r="E651" s="1">
        <v>18.216699999999999</v>
      </c>
      <c r="F651" t="str">
        <f>_xlfn.XLOOKUP(Table6[[#This Row],[City]],Table9[city],Table9[admin_name])</f>
        <v>Opole</v>
      </c>
    </row>
    <row r="652" spans="1:6" x14ac:dyDescent="0.55000000000000004">
      <c r="A652" s="2">
        <v>100</v>
      </c>
      <c r="B652" s="1" t="s">
        <v>653</v>
      </c>
      <c r="C652" s="2">
        <v>1</v>
      </c>
      <c r="D652" s="1">
        <v>51.05</v>
      </c>
      <c r="E652" s="1">
        <v>16.183299999999999</v>
      </c>
      <c r="F652" t="str">
        <f>_xlfn.XLOOKUP(Table6[[#This Row],[City]],Table9[city],Table9[admin_name])</f>
        <v>Lower Silesian</v>
      </c>
    </row>
    <row r="653" spans="1:6" x14ac:dyDescent="0.55000000000000004">
      <c r="A653" s="2">
        <v>101</v>
      </c>
      <c r="B653" s="1" t="s">
        <v>654</v>
      </c>
      <c r="C653" s="2">
        <v>1</v>
      </c>
      <c r="D653" s="1">
        <v>52.083300000000001</v>
      </c>
      <c r="E653" s="1">
        <v>16.649999999999999</v>
      </c>
      <c r="F653" t="str">
        <f>_xlfn.XLOOKUP(Table6[[#This Row],[City]],Table9[city],Table9[admin_name])</f>
        <v>Greater Poland</v>
      </c>
    </row>
    <row r="654" spans="1:6" x14ac:dyDescent="0.55000000000000004">
      <c r="A654" s="2">
        <v>102</v>
      </c>
      <c r="B654" s="1" t="s">
        <v>655</v>
      </c>
      <c r="C654" s="2">
        <v>1</v>
      </c>
      <c r="D654" s="1">
        <v>50.872500000000002</v>
      </c>
      <c r="E654" s="1">
        <v>20.631900000000002</v>
      </c>
      <c r="F654" t="str">
        <f>_xlfn.XLOOKUP(Table6[[#This Row],[City]],Table9[city],Table9[admin_name])</f>
        <v>Świętokrzyskie</v>
      </c>
    </row>
    <row r="655" spans="1:6" x14ac:dyDescent="0.55000000000000004">
      <c r="A655" s="2">
        <v>103</v>
      </c>
      <c r="B655" s="1" t="s">
        <v>656</v>
      </c>
      <c r="C655" s="2">
        <v>1</v>
      </c>
      <c r="D655" s="1">
        <v>49.5625</v>
      </c>
      <c r="E655" s="1">
        <v>20.636399999999998</v>
      </c>
      <c r="F655" t="str">
        <f>_xlfn.XLOOKUP(Table6[[#This Row],[City]],Table9[city],Table9[admin_name])</f>
        <v>Lesser Poland</v>
      </c>
    </row>
    <row r="656" spans="1:6" x14ac:dyDescent="0.55000000000000004">
      <c r="A656" s="2">
        <v>104</v>
      </c>
      <c r="B656" s="1" t="s">
        <v>657</v>
      </c>
      <c r="C656" s="2">
        <v>1</v>
      </c>
      <c r="D656" s="1">
        <v>51.8</v>
      </c>
      <c r="E656" s="1">
        <v>15.716699999999999</v>
      </c>
      <c r="F656" t="str">
        <f>_xlfn.XLOOKUP(Table6[[#This Row],[City]],Table9[city],Table9[admin_name])</f>
        <v>Lubusz</v>
      </c>
    </row>
    <row r="657" spans="1:6" x14ac:dyDescent="0.55000000000000004">
      <c r="A657" s="2">
        <v>105</v>
      </c>
      <c r="B657" s="1" t="s">
        <v>658</v>
      </c>
      <c r="C657" s="2">
        <v>1</v>
      </c>
      <c r="D657" s="1">
        <v>53.083300000000001</v>
      </c>
      <c r="E657" s="1">
        <v>21.566700000000001</v>
      </c>
      <c r="F657" t="str">
        <f>_xlfn.XLOOKUP(Table6[[#This Row],[City]],Table9[city],Table9[admin_name])</f>
        <v>Masovian</v>
      </c>
    </row>
    <row r="658" spans="1:6" x14ac:dyDescent="0.55000000000000004">
      <c r="A658" s="2">
        <v>106</v>
      </c>
      <c r="B658" s="1" t="s">
        <v>659</v>
      </c>
      <c r="C658" s="2">
        <v>1</v>
      </c>
      <c r="D658" s="1">
        <v>49.666699999999999</v>
      </c>
      <c r="E658" s="1">
        <v>18.866700000000002</v>
      </c>
      <c r="F658" t="str">
        <f>_xlfn.XLOOKUP(Table6[[#This Row],[City]],Table9[city],Table9[admin_name])</f>
        <v>Silesian</v>
      </c>
    </row>
    <row r="659" spans="1:6" x14ac:dyDescent="0.55000000000000004">
      <c r="A659" s="2">
        <v>107</v>
      </c>
      <c r="B659" s="1" t="s">
        <v>660</v>
      </c>
      <c r="C659" s="2">
        <v>1</v>
      </c>
      <c r="D659" s="1">
        <v>49.9833</v>
      </c>
      <c r="E659" s="1">
        <v>20.433299999999999</v>
      </c>
      <c r="F659" t="str">
        <f>_xlfn.XLOOKUP(Table6[[#This Row],[City]],Table9[city],Table9[admin_name])</f>
        <v>Lesser Poland</v>
      </c>
    </row>
    <row r="660" spans="1:6" x14ac:dyDescent="0.55000000000000004">
      <c r="A660" s="2">
        <v>108</v>
      </c>
      <c r="B660" s="1" t="s">
        <v>661</v>
      </c>
      <c r="C660" s="2">
        <v>1</v>
      </c>
      <c r="D660" s="1">
        <v>50.033299999999997</v>
      </c>
      <c r="E660" s="1">
        <v>19.2333</v>
      </c>
      <c r="F660" t="str">
        <f>_xlfn.XLOOKUP(Table6[[#This Row],[City]],Table9[city],Table9[admin_name])</f>
        <v>Lesser Poland</v>
      </c>
    </row>
    <row r="661" spans="1:6" x14ac:dyDescent="0.55000000000000004">
      <c r="A661" s="2">
        <v>109</v>
      </c>
      <c r="B661" s="1" t="s">
        <v>662</v>
      </c>
      <c r="C661" s="2">
        <v>1</v>
      </c>
      <c r="D661" s="1">
        <v>50.3</v>
      </c>
      <c r="E661" s="1">
        <v>19.166699999999999</v>
      </c>
      <c r="F661" t="str">
        <f>_xlfn.XLOOKUP(Table6[[#This Row],[City]],Table9[city],Table9[admin_name])</f>
        <v>Silesian</v>
      </c>
    </row>
    <row r="662" spans="1:6" x14ac:dyDescent="0.55000000000000004">
      <c r="A662" s="2">
        <v>110</v>
      </c>
      <c r="B662" s="1" t="s">
        <v>663</v>
      </c>
      <c r="C662" s="2">
        <v>1</v>
      </c>
      <c r="D662" s="1">
        <v>50.170999999999999</v>
      </c>
      <c r="E662" s="1">
        <v>18.9041</v>
      </c>
      <c r="F662" t="str">
        <f>_xlfn.XLOOKUP(Table6[[#This Row],[City]],Table9[city],Table9[admin_name])</f>
        <v>Silesian</v>
      </c>
    </row>
    <row r="663" spans="1:6" x14ac:dyDescent="0.55000000000000004">
      <c r="A663" s="2">
        <v>111</v>
      </c>
      <c r="B663" s="1" t="s">
        <v>664</v>
      </c>
      <c r="C663" s="2">
        <v>1</v>
      </c>
      <c r="D663" s="1">
        <v>50.059100000000001</v>
      </c>
      <c r="E663" s="1">
        <v>22.4941</v>
      </c>
      <c r="F663" t="str">
        <f>_xlfn.XLOOKUP(Table6[[#This Row],[City]],Table9[city],Table9[admin_name])</f>
        <v>Subcarpathian</v>
      </c>
    </row>
    <row r="664" spans="1:6" x14ac:dyDescent="0.55000000000000004">
      <c r="A664" s="2">
        <v>112</v>
      </c>
      <c r="B664" s="1" t="s">
        <v>665</v>
      </c>
      <c r="C664" s="2">
        <v>1</v>
      </c>
      <c r="D664" s="1">
        <v>53.183300000000003</v>
      </c>
      <c r="E664" s="1">
        <v>22.083300000000001</v>
      </c>
      <c r="F664" t="str">
        <f>_xlfn.XLOOKUP(Table6[[#This Row],[City]],Table9[city],Table9[admin_name])</f>
        <v>Podlachian</v>
      </c>
    </row>
    <row r="665" spans="1:6" x14ac:dyDescent="0.55000000000000004">
      <c r="A665" s="2">
        <v>113</v>
      </c>
      <c r="B665" s="1" t="s">
        <v>666</v>
      </c>
      <c r="C665" s="2">
        <v>1</v>
      </c>
      <c r="D665" s="1">
        <v>49.6556</v>
      </c>
      <c r="E665" s="1">
        <v>21.160399999999999</v>
      </c>
      <c r="F665" t="str">
        <f>_xlfn.XLOOKUP(Table6[[#This Row],[City]],Table9[city],Table9[admin_name])</f>
        <v>Lesser Poland</v>
      </c>
    </row>
    <row r="666" spans="1:6" x14ac:dyDescent="0.55000000000000004">
      <c r="A666" s="2">
        <v>114</v>
      </c>
      <c r="B666" s="1" t="s">
        <v>667</v>
      </c>
      <c r="C666" s="2">
        <v>1</v>
      </c>
      <c r="D666" s="1">
        <v>54.166699999999999</v>
      </c>
      <c r="E666" s="1">
        <v>15.566700000000001</v>
      </c>
      <c r="F666" t="str">
        <f>_xlfn.XLOOKUP(Table6[[#This Row],[City]],Table9[city],Table9[admin_name])</f>
        <v>West Pomeranian</v>
      </c>
    </row>
    <row r="667" spans="1:6" x14ac:dyDescent="0.55000000000000004">
      <c r="A667" s="2">
        <v>115</v>
      </c>
      <c r="B667" s="1" t="s">
        <v>668</v>
      </c>
      <c r="C667" s="2">
        <v>1</v>
      </c>
      <c r="D667" s="1">
        <v>53.735799999999998</v>
      </c>
      <c r="E667" s="1">
        <v>18.930800000000001</v>
      </c>
      <c r="F667" t="str">
        <f>_xlfn.XLOOKUP(Table6[[#This Row],[City]],Table9[city],Table9[admin_name])</f>
        <v>Pomeranian</v>
      </c>
    </row>
    <row r="668" spans="1:6" x14ac:dyDescent="0.55000000000000004">
      <c r="A668" s="2">
        <v>116</v>
      </c>
      <c r="B668" s="1" t="s">
        <v>669</v>
      </c>
      <c r="C668" s="2">
        <v>1</v>
      </c>
      <c r="D668" s="1">
        <v>53.116700000000002</v>
      </c>
      <c r="E668" s="1">
        <v>18</v>
      </c>
      <c r="F668" t="str">
        <f>_xlfn.XLOOKUP(Table6[[#This Row],[City]],Table9[city],Table9[admin_name])</f>
        <v>Kuyavian-Pomeranian</v>
      </c>
    </row>
    <row r="669" spans="1:6" x14ac:dyDescent="0.55000000000000004">
      <c r="A669" s="2">
        <v>117</v>
      </c>
      <c r="B669" s="1" t="s">
        <v>670</v>
      </c>
      <c r="C669" s="2">
        <v>1</v>
      </c>
      <c r="D669" s="1">
        <v>51.787700000000001</v>
      </c>
      <c r="E669" s="1">
        <v>14.9724</v>
      </c>
      <c r="F669" t="str">
        <f>_xlfn.XLOOKUP(Table6[[#This Row],[City]],Table9[city],Table9[admin_name])</f>
        <v>Lubusz</v>
      </c>
    </row>
    <row r="670" spans="1:6" x14ac:dyDescent="0.55000000000000004">
      <c r="A670" s="2">
        <v>118</v>
      </c>
      <c r="B670" s="1" t="s">
        <v>671</v>
      </c>
      <c r="C670" s="2">
        <v>1</v>
      </c>
      <c r="D670" s="1">
        <v>50.933300000000003</v>
      </c>
      <c r="E670" s="1">
        <v>21.4</v>
      </c>
      <c r="F670" t="str">
        <f>_xlfn.XLOOKUP(Table6[[#This Row],[City]],Table9[city],Table9[admin_name])</f>
        <v>Świętokrzyskie</v>
      </c>
    </row>
    <row r="671" spans="1:6" x14ac:dyDescent="0.55000000000000004">
      <c r="A671" s="2">
        <v>119</v>
      </c>
      <c r="B671" s="1" t="s">
        <v>672</v>
      </c>
      <c r="C671" s="2">
        <v>1</v>
      </c>
      <c r="D671" s="1">
        <v>50.262799999999999</v>
      </c>
      <c r="E671" s="1">
        <v>18.8536</v>
      </c>
      <c r="F671" t="str">
        <f>_xlfn.XLOOKUP(Table6[[#This Row],[City]],Table9[city],Table9[admin_name])</f>
        <v>Silesian</v>
      </c>
    </row>
    <row r="672" spans="1:6" x14ac:dyDescent="0.55000000000000004">
      <c r="A672" s="2">
        <v>120</v>
      </c>
      <c r="B672" s="1" t="s">
        <v>673</v>
      </c>
      <c r="C672" s="2">
        <v>1</v>
      </c>
      <c r="D672" s="1">
        <v>52.416699999999999</v>
      </c>
      <c r="E672" s="1">
        <v>19.466699999999999</v>
      </c>
      <c r="F672" t="str">
        <f>_xlfn.XLOOKUP(Table6[[#This Row],[City]],Table9[city],Table9[admin_name])</f>
        <v>Masovian</v>
      </c>
    </row>
    <row r="673" spans="1:6" x14ac:dyDescent="0.55000000000000004">
      <c r="A673" s="2">
        <v>121</v>
      </c>
      <c r="B673" s="1" t="s">
        <v>674</v>
      </c>
      <c r="C673" s="2">
        <v>1</v>
      </c>
      <c r="D673" s="1">
        <v>50.673099999999998</v>
      </c>
      <c r="E673" s="1">
        <v>18.213100000000001</v>
      </c>
      <c r="F673" t="str">
        <f>_xlfn.XLOOKUP(Table6[[#This Row],[City]],Table9[city],Table9[admin_name])</f>
        <v>Opole</v>
      </c>
    </row>
    <row r="674" spans="1:6" x14ac:dyDescent="0.55000000000000004">
      <c r="A674" s="2">
        <v>122</v>
      </c>
      <c r="B674" s="1" t="s">
        <v>675</v>
      </c>
      <c r="C674" s="2">
        <v>1</v>
      </c>
      <c r="D674" s="1">
        <v>52.427199999999999</v>
      </c>
      <c r="E674" s="1">
        <v>22.862500000000001</v>
      </c>
      <c r="F674" t="str">
        <f>_xlfn.XLOOKUP(Table6[[#This Row],[City]],Table9[city],Table9[admin_name])</f>
        <v>Podlachian</v>
      </c>
    </row>
    <row r="675" spans="1:6" x14ac:dyDescent="0.55000000000000004">
      <c r="A675" s="2">
        <v>123</v>
      </c>
      <c r="B675" s="1" t="s">
        <v>676</v>
      </c>
      <c r="C675" s="2">
        <v>1</v>
      </c>
      <c r="D675" s="1">
        <v>52.588299999999997</v>
      </c>
      <c r="E675" s="1">
        <v>14.666700000000001</v>
      </c>
      <c r="F675" t="str">
        <f>_xlfn.XLOOKUP(Table6[[#This Row],[City]],Table9[city],Table9[admin_name])</f>
        <v>Lubusz</v>
      </c>
    </row>
    <row r="676" spans="1:6" x14ac:dyDescent="0.55000000000000004">
      <c r="A676" s="2">
        <v>124</v>
      </c>
      <c r="B676" s="1" t="s">
        <v>677</v>
      </c>
      <c r="C676" s="2">
        <v>1</v>
      </c>
      <c r="D676" s="1">
        <v>50</v>
      </c>
      <c r="E676" s="1">
        <v>19.149999999999999</v>
      </c>
      <c r="F676" t="str">
        <f>_xlfn.XLOOKUP(Table6[[#This Row],[City]],Table9[city],Table9[admin_name])</f>
        <v>Lesser Poland</v>
      </c>
    </row>
    <row r="677" spans="1:6" x14ac:dyDescent="0.55000000000000004">
      <c r="A677" s="2">
        <v>125</v>
      </c>
      <c r="B677" s="1" t="s">
        <v>678</v>
      </c>
      <c r="C677" s="2">
        <v>1</v>
      </c>
      <c r="D677" s="1">
        <v>52.533299999999997</v>
      </c>
      <c r="E677" s="1">
        <v>17.600000000000001</v>
      </c>
      <c r="F677" t="str">
        <f>_xlfn.XLOOKUP(Table6[[#This Row],[City]],Table9[city],Table9[admin_name])</f>
        <v>Greater Poland</v>
      </c>
    </row>
    <row r="678" spans="1:6" x14ac:dyDescent="0.55000000000000004">
      <c r="A678" s="2">
        <v>126</v>
      </c>
      <c r="B678" s="1" t="s">
        <v>679</v>
      </c>
      <c r="C678" s="2">
        <v>1</v>
      </c>
      <c r="D678" s="1">
        <v>49.716700000000003</v>
      </c>
      <c r="E678" s="1">
        <v>18.816700000000001</v>
      </c>
      <c r="F678" t="str">
        <f>_xlfn.XLOOKUP(Table6[[#This Row],[City]],Table9[city],Table9[admin_name])</f>
        <v>Silesian</v>
      </c>
    </row>
    <row r="679" spans="1:6" x14ac:dyDescent="0.55000000000000004">
      <c r="A679" s="2">
        <v>127</v>
      </c>
      <c r="B679" s="1" t="s">
        <v>680</v>
      </c>
      <c r="C679" s="2">
        <v>1</v>
      </c>
      <c r="D679" s="1">
        <v>52.339500000000001</v>
      </c>
      <c r="E679" s="1">
        <v>21.195900000000002</v>
      </c>
      <c r="F679" t="str">
        <f>_xlfn.XLOOKUP(Table6[[#This Row],[City]],Table9[city],Table9[admin_name])</f>
        <v>Masovian</v>
      </c>
    </row>
    <row r="680" spans="1:6" x14ac:dyDescent="0.55000000000000004">
      <c r="A680" s="2">
        <v>128</v>
      </c>
      <c r="B680" s="1" t="s">
        <v>681</v>
      </c>
      <c r="C680" s="2">
        <v>1</v>
      </c>
      <c r="D680" s="1">
        <v>52.093800000000002</v>
      </c>
      <c r="E680" s="1">
        <v>21.117599999999999</v>
      </c>
      <c r="F680" t="str">
        <f>_xlfn.XLOOKUP(Table6[[#This Row],[City]],Table9[city],Table9[admin_name])</f>
        <v>Masovian</v>
      </c>
    </row>
    <row r="681" spans="1:6" x14ac:dyDescent="0.55000000000000004">
      <c r="A681" s="2">
        <v>129</v>
      </c>
      <c r="B681" s="1" t="s">
        <v>682</v>
      </c>
      <c r="C681" s="2">
        <v>1</v>
      </c>
      <c r="D681" s="1">
        <v>50.898600000000002</v>
      </c>
      <c r="E681" s="1">
        <v>16.744399999999999</v>
      </c>
      <c r="F681" t="str">
        <f>_xlfn.XLOOKUP(Table6[[#This Row],[City]],Table9[city],Table9[admin_name])</f>
        <v>Lower Silesian</v>
      </c>
    </row>
    <row r="682" spans="1:6" x14ac:dyDescent="0.55000000000000004">
      <c r="A682" s="2">
        <v>130</v>
      </c>
      <c r="B682" s="1" t="s">
        <v>683</v>
      </c>
      <c r="C682" s="2">
        <v>1</v>
      </c>
      <c r="D682" s="1">
        <v>51.273000000000003</v>
      </c>
      <c r="E682" s="1">
        <v>16.708100000000002</v>
      </c>
      <c r="F682" t="str">
        <f>_xlfn.XLOOKUP(Table6[[#This Row],[City]],Table9[city],Table9[admin_name])</f>
        <v>Lower Silesian</v>
      </c>
    </row>
    <row r="683" spans="1:6" x14ac:dyDescent="0.55000000000000004">
      <c r="A683" s="2">
        <v>131</v>
      </c>
      <c r="B683" s="1" t="s">
        <v>684</v>
      </c>
      <c r="C683" s="2">
        <v>1</v>
      </c>
      <c r="D683" s="1">
        <v>54.518900000000002</v>
      </c>
      <c r="E683" s="1">
        <v>18.5319</v>
      </c>
      <c r="F683" t="str">
        <f>_xlfn.XLOOKUP(Table6[[#This Row],[City]],Table9[city],Table9[admin_name])</f>
        <v>Pomeranian</v>
      </c>
    </row>
    <row r="684" spans="1:6" x14ac:dyDescent="0.55000000000000004">
      <c r="A684" s="2">
        <v>132</v>
      </c>
      <c r="B684" s="1" t="s">
        <v>685</v>
      </c>
      <c r="C684" s="2">
        <v>1</v>
      </c>
      <c r="D684" s="1">
        <v>50.433300000000003</v>
      </c>
      <c r="E684" s="1">
        <v>21.283300000000001</v>
      </c>
      <c r="F684" t="str">
        <f>_xlfn.XLOOKUP(Table6[[#This Row],[City]],Table9[city],Table9[admin_name])</f>
        <v>Świętokrzyskie</v>
      </c>
    </row>
    <row r="685" spans="1:6" x14ac:dyDescent="0.55000000000000004">
      <c r="A685" s="2">
        <v>133</v>
      </c>
      <c r="B685" s="1" t="s">
        <v>686</v>
      </c>
      <c r="C685" s="2">
        <v>1</v>
      </c>
      <c r="D685" s="1">
        <v>53.313699999999997</v>
      </c>
      <c r="E685" s="1">
        <v>17.937000000000001</v>
      </c>
      <c r="F685" t="str">
        <f>_xlfn.XLOOKUP(Table6[[#This Row],[City]],Table9[city],Table9[admin_name])</f>
        <v>Kuyavian-Pomeranian</v>
      </c>
    </row>
    <row r="686" spans="1:6" x14ac:dyDescent="0.55000000000000004">
      <c r="A686" s="2">
        <v>134</v>
      </c>
      <c r="B686" s="1" t="s">
        <v>687</v>
      </c>
      <c r="C686" s="2">
        <v>1</v>
      </c>
      <c r="D686" s="1">
        <v>53.0167</v>
      </c>
      <c r="E686" s="1">
        <v>18.616700000000002</v>
      </c>
      <c r="F686" t="str">
        <f>_xlfn.XLOOKUP(Table6[[#This Row],[City]],Table9[city],Table9[admin_name])</f>
        <v>Kuyavian-Pomeranian</v>
      </c>
    </row>
    <row r="687" spans="1:6" x14ac:dyDescent="0.55000000000000004">
      <c r="A687" s="2">
        <v>135</v>
      </c>
      <c r="B687" s="1" t="s">
        <v>688</v>
      </c>
      <c r="C687" s="2">
        <v>1</v>
      </c>
      <c r="D687" s="1">
        <v>51.939700000000002</v>
      </c>
      <c r="E687" s="1">
        <v>15.505000000000001</v>
      </c>
      <c r="F687" t="str">
        <f>_xlfn.XLOOKUP(Table6[[#This Row],[City]],Table9[city],Table9[admin_name])</f>
        <v>Lubusz</v>
      </c>
    </row>
    <row r="688" spans="1:6" x14ac:dyDescent="0.55000000000000004">
      <c r="A688" s="2">
        <v>136</v>
      </c>
      <c r="B688" s="1" t="s">
        <v>689</v>
      </c>
      <c r="C688" s="2">
        <v>1</v>
      </c>
      <c r="D688" s="1">
        <v>51.416600000000003</v>
      </c>
      <c r="E688" s="1">
        <v>21.9694</v>
      </c>
      <c r="F688" t="str">
        <f>_xlfn.XLOOKUP(Table6[[#This Row],[City]],Table9[city],Table9[admin_name])</f>
        <v>Lublin</v>
      </c>
    </row>
    <row r="689" spans="1:6" x14ac:dyDescent="0.55000000000000004">
      <c r="A689" s="2">
        <v>137</v>
      </c>
      <c r="B689" s="1" t="s">
        <v>690</v>
      </c>
      <c r="C689" s="2">
        <v>1</v>
      </c>
      <c r="D689" s="1">
        <v>54.006999999999998</v>
      </c>
      <c r="E689" s="1">
        <v>15.987500000000001</v>
      </c>
      <c r="F689" t="str">
        <f>_xlfn.XLOOKUP(Table6[[#This Row],[City]],Table9[city],Table9[admin_name])</f>
        <v>West Pomeranian</v>
      </c>
    </row>
    <row r="690" spans="1:6" x14ac:dyDescent="0.55000000000000004">
      <c r="A690" s="2">
        <v>138</v>
      </c>
      <c r="B690" s="1" t="s">
        <v>691</v>
      </c>
      <c r="C690" s="2">
        <v>1</v>
      </c>
      <c r="D690" s="1">
        <v>50.283299999999997</v>
      </c>
      <c r="E690" s="1">
        <v>21.433299999999999</v>
      </c>
      <c r="F690" t="str">
        <f>_xlfn.XLOOKUP(Table6[[#This Row],[City]],Table9[city],Table9[admin_name])</f>
        <v>Subcarpathian</v>
      </c>
    </row>
    <row r="691" spans="1:6" x14ac:dyDescent="0.55000000000000004">
      <c r="A691" s="2">
        <v>139</v>
      </c>
      <c r="B691" s="1" t="s">
        <v>692</v>
      </c>
      <c r="C691" s="2">
        <v>1</v>
      </c>
      <c r="D691" s="1">
        <v>54.028500000000001</v>
      </c>
      <c r="E691" s="1">
        <v>19.0444</v>
      </c>
      <c r="F691" t="str">
        <f>_xlfn.XLOOKUP(Table6[[#This Row],[City]],Table9[city],Table9[admin_name])</f>
        <v>Pomeranian</v>
      </c>
    </row>
    <row r="692" spans="1:6" x14ac:dyDescent="0.55000000000000004">
      <c r="A692" s="2">
        <v>140</v>
      </c>
      <c r="B692" s="1" t="s">
        <v>693</v>
      </c>
      <c r="C692" s="2">
        <v>1</v>
      </c>
      <c r="D692" s="1">
        <v>49.989400000000003</v>
      </c>
      <c r="E692" s="1">
        <v>20.066099999999999</v>
      </c>
      <c r="F692" t="str">
        <f>_xlfn.XLOOKUP(Table6[[#This Row],[City]],Table9[city],Table9[admin_name])</f>
        <v>Lesser Poland</v>
      </c>
    </row>
    <row r="693" spans="1:6" x14ac:dyDescent="0.55000000000000004">
      <c r="A693" s="2">
        <v>141</v>
      </c>
      <c r="B693" s="1" t="s">
        <v>694</v>
      </c>
      <c r="C693" s="2">
        <v>1</v>
      </c>
      <c r="D693" s="1">
        <v>51.697000000000003</v>
      </c>
      <c r="E693" s="1">
        <v>17.435700000000001</v>
      </c>
      <c r="F693" t="str">
        <f>_xlfn.XLOOKUP(Table6[[#This Row],[City]],Table9[city],Table9[admin_name])</f>
        <v>Greater Poland</v>
      </c>
    </row>
    <row r="694" spans="1:6" x14ac:dyDescent="0.55000000000000004">
      <c r="A694" s="2">
        <v>142</v>
      </c>
      <c r="B694" s="1" t="s">
        <v>695</v>
      </c>
      <c r="C694" s="2">
        <v>1</v>
      </c>
      <c r="D694" s="1">
        <v>54.190300000000001</v>
      </c>
      <c r="E694" s="1">
        <v>16.181699999999999</v>
      </c>
      <c r="F694" t="str">
        <f>_xlfn.XLOOKUP(Table6[[#This Row],[City]],Table9[city],Table9[admin_name])</f>
        <v>West Pomeranian</v>
      </c>
    </row>
    <row r="695" spans="1:6" x14ac:dyDescent="0.55000000000000004">
      <c r="A695" s="2">
        <v>143</v>
      </c>
      <c r="B695" s="1" t="s">
        <v>696</v>
      </c>
      <c r="C695" s="2">
        <v>1</v>
      </c>
      <c r="D695" s="1">
        <v>51.466700000000003</v>
      </c>
      <c r="E695" s="1">
        <v>22.6</v>
      </c>
      <c r="F695" t="str">
        <f>_xlfn.XLOOKUP(Table6[[#This Row],[City]],Table9[city],Table9[admin_name])</f>
        <v>Lublin</v>
      </c>
    </row>
    <row r="696" spans="1:6" x14ac:dyDescent="0.55000000000000004">
      <c r="A696" s="2">
        <v>144</v>
      </c>
      <c r="B696" s="1" t="s">
        <v>697</v>
      </c>
      <c r="C696" s="2">
        <v>1</v>
      </c>
      <c r="D696" s="1">
        <v>54.050400000000003</v>
      </c>
      <c r="E696" s="1">
        <v>21.145800000000001</v>
      </c>
      <c r="F696" t="str">
        <f>_xlfn.XLOOKUP(Table6[[#This Row],[City]],Table9[city],Table9[admin_name])</f>
        <v>Warmian-Masurian</v>
      </c>
    </row>
    <row r="697" spans="1:6" x14ac:dyDescent="0.55000000000000004">
      <c r="A697" s="2">
        <v>145</v>
      </c>
      <c r="B697" s="1" t="s">
        <v>698</v>
      </c>
      <c r="C697" s="2">
        <v>1</v>
      </c>
      <c r="D697" s="1">
        <v>54</v>
      </c>
      <c r="E697" s="1">
        <v>16.9833</v>
      </c>
      <c r="F697" t="str">
        <f>_xlfn.XLOOKUP(Table6[[#This Row],[City]],Table9[city],Table9[admin_name])</f>
        <v>Pomeranian</v>
      </c>
    </row>
    <row r="698" spans="1:6" x14ac:dyDescent="0.55000000000000004">
      <c r="A698" s="2">
        <v>146</v>
      </c>
      <c r="B698" s="1" t="s">
        <v>699</v>
      </c>
      <c r="C698" s="2">
        <v>1</v>
      </c>
      <c r="D698" s="1">
        <v>50.687399999999997</v>
      </c>
      <c r="E698" s="1">
        <v>16.371700000000001</v>
      </c>
      <c r="F698" t="str">
        <f>_xlfn.XLOOKUP(Table6[[#This Row],[City]],Table9[city],Table9[admin_name])</f>
        <v>Lower Silesian</v>
      </c>
    </row>
    <row r="699" spans="1:6" x14ac:dyDescent="0.55000000000000004">
      <c r="A699" s="2">
        <v>147</v>
      </c>
      <c r="B699" s="1" t="s">
        <v>700</v>
      </c>
      <c r="C699" s="2">
        <v>1</v>
      </c>
      <c r="D699" s="1">
        <v>54.55</v>
      </c>
      <c r="E699" s="1">
        <v>17.75</v>
      </c>
      <c r="F699" t="str">
        <f>_xlfn.XLOOKUP(Table6[[#This Row],[City]],Table9[city],Table9[admin_name])</f>
        <v>Pomeranian</v>
      </c>
    </row>
    <row r="700" spans="1:6" x14ac:dyDescent="0.55000000000000004">
      <c r="A700" s="2">
        <v>148</v>
      </c>
      <c r="B700" s="1" t="s">
        <v>701</v>
      </c>
      <c r="C700" s="2">
        <v>1</v>
      </c>
      <c r="D700" s="1">
        <v>50.200899999999997</v>
      </c>
      <c r="E700" s="1">
        <v>17.828600000000002</v>
      </c>
      <c r="F700" t="str">
        <f>_xlfn.XLOOKUP(Table6[[#This Row],[City]],Table9[city],Table9[admin_name])</f>
        <v>Opole</v>
      </c>
    </row>
    <row r="701" spans="1:6" x14ac:dyDescent="0.55000000000000004">
      <c r="A701" s="2">
        <v>149</v>
      </c>
      <c r="B701" s="1" t="s">
        <v>702</v>
      </c>
      <c r="C701" s="2">
        <v>1</v>
      </c>
      <c r="D701" s="1">
        <v>52.216700000000003</v>
      </c>
      <c r="E701" s="1">
        <v>21.033300000000001</v>
      </c>
      <c r="F701" t="str">
        <f>_xlfn.XLOOKUP(Table6[[#This Row],[City]],Table9[city],Table9[admin_name])</f>
        <v>Masovian</v>
      </c>
    </row>
    <row r="702" spans="1:6" x14ac:dyDescent="0.55000000000000004">
      <c r="A702" s="2">
        <v>150</v>
      </c>
      <c r="B702" s="1" t="s">
        <v>703</v>
      </c>
      <c r="C702" s="2">
        <v>1</v>
      </c>
      <c r="D702" s="1">
        <v>49.4833</v>
      </c>
      <c r="E702" s="1">
        <v>20.033300000000001</v>
      </c>
      <c r="F702" t="str">
        <f>_xlfn.XLOOKUP(Table6[[#This Row],[City]],Table9[city],Table9[admin_name])</f>
        <v>Lesser Poland</v>
      </c>
    </row>
    <row r="703" spans="1:6" x14ac:dyDescent="0.55000000000000004">
      <c r="A703" s="2">
        <v>151</v>
      </c>
      <c r="B703" s="1" t="s">
        <v>704</v>
      </c>
      <c r="C703" s="2">
        <v>1</v>
      </c>
      <c r="D703" s="1">
        <v>52.444600000000001</v>
      </c>
      <c r="E703" s="1">
        <v>15.577999999999999</v>
      </c>
      <c r="F703" t="str">
        <f>_xlfn.XLOOKUP(Table6[[#This Row],[City]],Table9[city],Table9[admin_name])</f>
        <v>Lubusz</v>
      </c>
    </row>
    <row r="704" spans="1:6" x14ac:dyDescent="0.55000000000000004">
      <c r="A704" s="2">
        <v>152</v>
      </c>
      <c r="B704" s="1" t="s">
        <v>705</v>
      </c>
      <c r="C704" s="2">
        <v>1</v>
      </c>
      <c r="D704" s="1">
        <v>54.580500000000001</v>
      </c>
      <c r="E704" s="1">
        <v>16.861899999999999</v>
      </c>
      <c r="F704" t="str">
        <f>_xlfn.XLOOKUP(Table6[[#This Row],[City]],Table9[city],Table9[admin_name])</f>
        <v>Pomeranian</v>
      </c>
    </row>
    <row r="705" spans="1:6" x14ac:dyDescent="0.55000000000000004">
      <c r="A705" s="2">
        <v>153</v>
      </c>
      <c r="B705" s="1" t="s">
        <v>706</v>
      </c>
      <c r="C705" s="2">
        <v>1</v>
      </c>
      <c r="D705" s="1">
        <v>51.6</v>
      </c>
      <c r="E705" s="1">
        <v>18.75</v>
      </c>
      <c r="F705" t="str">
        <f>_xlfn.XLOOKUP(Table6[[#This Row],[City]],Table9[city],Table9[admin_name])</f>
        <v>Łódź</v>
      </c>
    </row>
    <row r="706" spans="1:6" x14ac:dyDescent="0.55000000000000004">
      <c r="A706" s="2">
        <v>154</v>
      </c>
      <c r="B706" s="1" t="s">
        <v>707</v>
      </c>
      <c r="C706" s="2">
        <v>1</v>
      </c>
      <c r="D706" s="1">
        <v>53.066699999999997</v>
      </c>
      <c r="E706" s="1">
        <v>19.45</v>
      </c>
      <c r="F706" t="str">
        <f>_xlfn.XLOOKUP(Table6[[#This Row],[City]],Table9[city],Table9[admin_name])</f>
        <v>Kuyavian-Pomeranian</v>
      </c>
    </row>
    <row r="707" spans="1:6" x14ac:dyDescent="0.55000000000000004">
      <c r="A707" s="2">
        <v>155</v>
      </c>
      <c r="B707" s="1" t="s">
        <v>708</v>
      </c>
      <c r="C707" s="2">
        <v>1</v>
      </c>
      <c r="D707" s="1">
        <v>53.55</v>
      </c>
      <c r="E707" s="1">
        <v>14.5708</v>
      </c>
      <c r="F707" t="str">
        <f>_xlfn.XLOOKUP(Table6[[#This Row],[City]],Table9[city],Table9[admin_name])</f>
        <v>West Pomeranian</v>
      </c>
    </row>
    <row r="708" spans="1:6" x14ac:dyDescent="0.55000000000000004">
      <c r="A708" s="2">
        <v>156</v>
      </c>
      <c r="B708" s="1" t="s">
        <v>709</v>
      </c>
      <c r="C708" s="2">
        <v>1</v>
      </c>
      <c r="D708" s="1">
        <v>52.166699999999999</v>
      </c>
      <c r="E708" s="1">
        <v>20.8</v>
      </c>
      <c r="F708" t="str">
        <f>_xlfn.XLOOKUP(Table6[[#This Row],[City]],Table9[city],Table9[admin_name])</f>
        <v>Masovian</v>
      </c>
    </row>
    <row r="709" spans="1:6" x14ac:dyDescent="0.55000000000000004">
      <c r="A709" s="2">
        <v>157</v>
      </c>
      <c r="B709" s="1" t="s">
        <v>710</v>
      </c>
      <c r="C709" s="2">
        <v>1</v>
      </c>
      <c r="D709" s="1">
        <v>50.3</v>
      </c>
      <c r="E709" s="1">
        <v>18.783300000000001</v>
      </c>
      <c r="F709" t="str">
        <f>_xlfn.XLOOKUP(Table6[[#This Row],[City]],Table9[city],Table9[admin_name])</f>
        <v>Silesian</v>
      </c>
    </row>
    <row r="710" spans="1:6" x14ac:dyDescent="0.55000000000000004">
      <c r="A710" s="2">
        <v>158</v>
      </c>
      <c r="B710" s="1" t="s">
        <v>711</v>
      </c>
      <c r="C710" s="2">
        <v>1</v>
      </c>
      <c r="D710" s="1">
        <v>51.133299999999998</v>
      </c>
      <c r="E710" s="1">
        <v>23.4833</v>
      </c>
      <c r="F710" t="str">
        <f>_xlfn.XLOOKUP(Table6[[#This Row],[City]],Table9[city],Table9[admin_name])</f>
        <v>Lublin</v>
      </c>
    </row>
    <row r="711" spans="1:6" x14ac:dyDescent="0.55000000000000004">
      <c r="A711" s="2">
        <v>159</v>
      </c>
      <c r="B711" s="1" t="s">
        <v>712</v>
      </c>
      <c r="C711" s="2">
        <v>1</v>
      </c>
      <c r="D711" s="1">
        <v>52.103900000000003</v>
      </c>
      <c r="E711" s="1">
        <v>20.633700000000001</v>
      </c>
      <c r="F711" t="str">
        <f>_xlfn.XLOOKUP(Table6[[#This Row],[City]],Table9[city],Table9[admin_name])</f>
        <v>Masovian</v>
      </c>
    </row>
    <row r="712" spans="1:6" x14ac:dyDescent="0.55000000000000004">
      <c r="A712" s="2">
        <v>160</v>
      </c>
      <c r="B712" s="1" t="s">
        <v>713</v>
      </c>
      <c r="C712" s="2">
        <v>1</v>
      </c>
      <c r="D712" s="1">
        <v>53.424700000000001</v>
      </c>
      <c r="E712" s="1">
        <v>14.555300000000001</v>
      </c>
      <c r="F712" t="str">
        <f>_xlfn.XLOOKUP(Table6[[#This Row],[City]],Table9[city],Table9[admin_name])</f>
        <v>West Pomeranian</v>
      </c>
    </row>
    <row r="713" spans="1:6" x14ac:dyDescent="0.55000000000000004">
      <c r="A713" s="2">
        <v>161</v>
      </c>
      <c r="B713" s="1" t="s">
        <v>714</v>
      </c>
      <c r="C713" s="2">
        <v>1</v>
      </c>
      <c r="D713" s="1">
        <v>50.347000000000001</v>
      </c>
      <c r="E713" s="1">
        <v>18.922999999999998</v>
      </c>
      <c r="F713" t="str">
        <f>_xlfn.XLOOKUP(Table6[[#This Row],[City]],Table9[city],Table9[admin_name])</f>
        <v>Silesian</v>
      </c>
    </row>
    <row r="714" spans="1:6" x14ac:dyDescent="0.55000000000000004">
      <c r="A714" s="2">
        <v>162</v>
      </c>
      <c r="B714" s="1" t="s">
        <v>715</v>
      </c>
      <c r="C714" s="2">
        <v>1</v>
      </c>
      <c r="D714" s="1">
        <v>50.7667</v>
      </c>
      <c r="E714" s="1">
        <v>16.283300000000001</v>
      </c>
      <c r="F714" t="str">
        <f>_xlfn.XLOOKUP(Table6[[#This Row],[City]],Table9[city],Table9[admin_name])</f>
        <v>Lower Silesian</v>
      </c>
    </row>
    <row r="715" spans="1:6" x14ac:dyDescent="0.55000000000000004">
      <c r="A715" s="2">
        <v>163</v>
      </c>
      <c r="B715" s="1" t="s">
        <v>716</v>
      </c>
      <c r="C715" s="2">
        <v>1</v>
      </c>
      <c r="D715" s="1">
        <v>52.7333</v>
      </c>
      <c r="E715" s="1">
        <v>23.566700000000001</v>
      </c>
      <c r="F715" t="str">
        <f>_xlfn.XLOOKUP(Table6[[#This Row],[City]],Table9[city],Table9[admin_name])</f>
        <v>Podlachian</v>
      </c>
    </row>
    <row r="716" spans="1:6" x14ac:dyDescent="0.55000000000000004">
      <c r="A716" s="2">
        <v>164</v>
      </c>
      <c r="B716" s="1" t="s">
        <v>717</v>
      </c>
      <c r="C716" s="2">
        <v>1</v>
      </c>
      <c r="D716" s="1">
        <v>51.756999999999998</v>
      </c>
      <c r="E716" s="1">
        <v>18.082999999999998</v>
      </c>
      <c r="F716" t="str">
        <f>_xlfn.XLOOKUP(Table6[[#This Row],[City]],Table9[city],Table9[admin_name])</f>
        <v>Greater Poland</v>
      </c>
    </row>
    <row r="717" spans="1:6" x14ac:dyDescent="0.55000000000000004">
      <c r="A717" s="2">
        <v>165</v>
      </c>
      <c r="B717" s="1" t="s">
        <v>718</v>
      </c>
      <c r="C717" s="2">
        <v>1</v>
      </c>
      <c r="D717" s="1">
        <v>52.55</v>
      </c>
      <c r="E717" s="1">
        <v>19.7</v>
      </c>
      <c r="F717" t="str">
        <f>_xlfn.XLOOKUP(Table6[[#This Row],[City]],Table9[city],Table9[admin_name])</f>
        <v>Masovian</v>
      </c>
    </row>
    <row r="718" spans="1:6" x14ac:dyDescent="0.55000000000000004">
      <c r="A718" s="2">
        <v>166</v>
      </c>
      <c r="B718" s="1" t="s">
        <v>719</v>
      </c>
      <c r="C718" s="2">
        <v>1</v>
      </c>
      <c r="D718" s="1">
        <v>50.012500000000003</v>
      </c>
      <c r="E718" s="1">
        <v>20.988299999999999</v>
      </c>
      <c r="F718" t="str">
        <f>_xlfn.XLOOKUP(Table6[[#This Row],[City]],Table9[city],Table9[admin_name])</f>
        <v>Lesser Poland</v>
      </c>
    </row>
    <row r="719" spans="1:6" x14ac:dyDescent="0.55000000000000004">
      <c r="A719" s="2">
        <v>167</v>
      </c>
      <c r="B719" s="1" t="s">
        <v>720</v>
      </c>
      <c r="C719" s="2">
        <v>1</v>
      </c>
      <c r="D719" s="1">
        <v>54.083300000000001</v>
      </c>
      <c r="E719" s="1">
        <v>21.383299999999998</v>
      </c>
      <c r="F719" t="str">
        <f>_xlfn.XLOOKUP(Table6[[#This Row],[City]],Table9[city],Table9[admin_name])</f>
        <v>Warmian-Masurian</v>
      </c>
    </row>
    <row r="720" spans="1:6" x14ac:dyDescent="0.55000000000000004">
      <c r="A720" s="2">
        <v>168</v>
      </c>
      <c r="B720" s="1" t="s">
        <v>721</v>
      </c>
      <c r="C720" s="2">
        <v>1</v>
      </c>
      <c r="D720" s="1">
        <v>50.690800000000003</v>
      </c>
      <c r="E720" s="1">
        <v>16.623000000000001</v>
      </c>
      <c r="F720" t="str">
        <f>_xlfn.XLOOKUP(Table6[[#This Row],[City]],Table9[city],Table9[admin_name])</f>
        <v>Lower Silesian</v>
      </c>
    </row>
    <row r="721" spans="1:6" x14ac:dyDescent="0.55000000000000004">
      <c r="A721" s="2">
        <v>169</v>
      </c>
      <c r="B721" s="1" t="s">
        <v>722</v>
      </c>
      <c r="C721" s="2">
        <v>1</v>
      </c>
      <c r="D721" s="1">
        <v>51.664200000000001</v>
      </c>
      <c r="E721" s="1">
        <v>19.350000000000001</v>
      </c>
      <c r="F721" t="str">
        <f>_xlfn.XLOOKUP(Table6[[#This Row],[City]],Table9[city],Table9[admin_name])</f>
        <v>Łódź</v>
      </c>
    </row>
    <row r="722" spans="1:6" x14ac:dyDescent="0.55000000000000004">
      <c r="A722" s="2">
        <v>170</v>
      </c>
      <c r="B722" s="1" t="s">
        <v>723</v>
      </c>
      <c r="C722" s="2">
        <v>1</v>
      </c>
      <c r="D722" s="1">
        <v>52.116700000000002</v>
      </c>
      <c r="E722" s="1">
        <v>21.2667</v>
      </c>
      <c r="F722" t="str">
        <f>_xlfn.XLOOKUP(Table6[[#This Row],[City]],Table9[city],Table9[admin_name])</f>
        <v>Masovian</v>
      </c>
    </row>
    <row r="723" spans="1:6" x14ac:dyDescent="0.55000000000000004">
      <c r="A723" s="2">
        <v>171</v>
      </c>
      <c r="B723" s="1" t="s">
        <v>724</v>
      </c>
      <c r="C723" s="2">
        <v>1</v>
      </c>
      <c r="D723" s="1">
        <v>52.236699999999999</v>
      </c>
      <c r="E723" s="1">
        <v>17.098600000000001</v>
      </c>
      <c r="F723" t="str">
        <f>_xlfn.XLOOKUP(Table6[[#This Row],[City]],Table9[city],Table9[admin_name])</f>
        <v>Greater Poland</v>
      </c>
    </row>
    <row r="724" spans="1:6" x14ac:dyDescent="0.55000000000000004">
      <c r="A724" s="2">
        <v>172</v>
      </c>
      <c r="B724" s="1" t="s">
        <v>725</v>
      </c>
      <c r="C724" s="2">
        <v>1</v>
      </c>
      <c r="D724" s="1">
        <v>52.561399999999999</v>
      </c>
      <c r="E724" s="1">
        <v>17.8231</v>
      </c>
      <c r="F724" t="str">
        <f>_xlfn.XLOOKUP(Table6[[#This Row],[City]],Table9[city],Table9[admin_name])</f>
        <v>Greater Poland</v>
      </c>
    </row>
    <row r="725" spans="1:6" x14ac:dyDescent="0.55000000000000004">
      <c r="A725" s="2">
        <v>173</v>
      </c>
      <c r="B725" s="1" t="s">
        <v>726</v>
      </c>
      <c r="C725" s="2">
        <v>1</v>
      </c>
      <c r="D725" s="1">
        <v>53.966700000000003</v>
      </c>
      <c r="E725" s="1">
        <v>18.533300000000001</v>
      </c>
      <c r="F725" t="str">
        <f>_xlfn.XLOOKUP(Table6[[#This Row],[City]],Table9[city],Table9[admin_name])</f>
        <v>Pomeranian</v>
      </c>
    </row>
    <row r="726" spans="1:6" x14ac:dyDescent="0.55000000000000004">
      <c r="A726" s="2">
        <v>174</v>
      </c>
      <c r="B726" s="1" t="s">
        <v>727</v>
      </c>
      <c r="C726" s="2">
        <v>1</v>
      </c>
      <c r="D726" s="1">
        <v>50.9</v>
      </c>
      <c r="E726" s="1">
        <v>15.7333</v>
      </c>
      <c r="F726" t="str">
        <f>_xlfn.XLOOKUP(Table6[[#This Row],[City]],Table9[city],Table9[admin_name])</f>
        <v>Lower Silesian</v>
      </c>
    </row>
    <row r="727" spans="1:6" x14ac:dyDescent="0.55000000000000004">
      <c r="A727" s="2">
        <v>175</v>
      </c>
      <c r="B727" s="1" t="s">
        <v>728</v>
      </c>
      <c r="C727" s="2">
        <v>1</v>
      </c>
      <c r="D727" s="1">
        <v>51.633299999999998</v>
      </c>
      <c r="E727" s="1">
        <v>15.1333</v>
      </c>
      <c r="F727" t="str">
        <f>_xlfn.XLOOKUP(Table6[[#This Row],[City]],Table9[city],Table9[admin_name])</f>
        <v>Lubusz</v>
      </c>
    </row>
    <row r="728" spans="1:6" x14ac:dyDescent="0.55000000000000004">
      <c r="A728" s="2">
        <v>176</v>
      </c>
      <c r="B728" s="1" t="s">
        <v>729</v>
      </c>
      <c r="C728" s="2">
        <v>1</v>
      </c>
      <c r="D728" s="1">
        <v>50.133299999999998</v>
      </c>
      <c r="E728" s="1">
        <v>19.399999999999999</v>
      </c>
      <c r="F728" t="str">
        <f>_xlfn.XLOOKUP(Table6[[#This Row],[City]],Table9[city],Table9[admin_name])</f>
        <v>Lesser Poland</v>
      </c>
    </row>
    <row r="729" spans="1:6" x14ac:dyDescent="0.55000000000000004">
      <c r="A729" s="2">
        <v>177</v>
      </c>
      <c r="B729" s="1" t="s">
        <v>730</v>
      </c>
      <c r="C729" s="2">
        <v>1</v>
      </c>
      <c r="D729" s="1">
        <v>50.133299999999998</v>
      </c>
      <c r="E729" s="1">
        <v>19.633299999999998</v>
      </c>
      <c r="F729" t="str">
        <f>_xlfn.XLOOKUP(Table6[[#This Row],[City]],Table9[city],Table9[admin_name])</f>
        <v>Lesser Poland</v>
      </c>
    </row>
    <row r="730" spans="1:6" x14ac:dyDescent="0.55000000000000004">
      <c r="A730" s="2">
        <v>178</v>
      </c>
      <c r="B730" s="1" t="s">
        <v>731</v>
      </c>
      <c r="C730" s="2">
        <v>1</v>
      </c>
      <c r="D730" s="1">
        <v>52.65</v>
      </c>
      <c r="E730" s="1">
        <v>16.816700000000001</v>
      </c>
      <c r="F730" t="str">
        <f>_xlfn.XLOOKUP(Table6[[#This Row],[City]],Table9[city],Table9[admin_name])</f>
        <v>Greater Poland</v>
      </c>
    </row>
    <row r="731" spans="1:6" x14ac:dyDescent="0.55000000000000004">
      <c r="A731" s="2">
        <v>179</v>
      </c>
      <c r="B731" s="1" t="s">
        <v>732</v>
      </c>
      <c r="C731" s="2">
        <v>1</v>
      </c>
      <c r="D731" s="1">
        <v>49.966700000000003</v>
      </c>
      <c r="E731" s="1">
        <v>20.616700000000002</v>
      </c>
      <c r="F731" t="str">
        <f>_xlfn.XLOOKUP(Table6[[#This Row],[City]],Table9[city],Table9[admin_name])</f>
        <v>Lesser Poland</v>
      </c>
    </row>
    <row r="732" spans="1:6" x14ac:dyDescent="0.55000000000000004">
      <c r="A732" s="2">
        <v>180</v>
      </c>
      <c r="B732" s="1" t="s">
        <v>733</v>
      </c>
      <c r="C732" s="2">
        <v>1</v>
      </c>
      <c r="D732" s="1">
        <v>50.0687</v>
      </c>
      <c r="E732" s="1">
        <v>22.229099999999999</v>
      </c>
      <c r="F732" t="str">
        <f>_xlfn.XLOOKUP(Table6[[#This Row],[City]],Table9[city],Table9[admin_name])</f>
        <v>Subcarpathian</v>
      </c>
    </row>
    <row r="733" spans="1:6" x14ac:dyDescent="0.55000000000000004">
      <c r="A733" s="2">
        <v>181</v>
      </c>
      <c r="B733" s="1" t="s">
        <v>734</v>
      </c>
      <c r="C733" s="2">
        <v>1</v>
      </c>
      <c r="D733" s="1">
        <v>50.2</v>
      </c>
      <c r="E733" s="1">
        <v>19.274999999999999</v>
      </c>
      <c r="F733" t="str">
        <f>_xlfn.XLOOKUP(Table6[[#This Row],[City]],Table9[city],Table9[admin_name])</f>
        <v>Silesian</v>
      </c>
    </row>
    <row r="734" spans="1:6" x14ac:dyDescent="0.55000000000000004">
      <c r="A734" s="2">
        <v>182</v>
      </c>
      <c r="B734" s="1" t="s">
        <v>735</v>
      </c>
      <c r="C734" s="2">
        <v>1</v>
      </c>
      <c r="D734" s="1">
        <v>49.695300000000003</v>
      </c>
      <c r="E734" s="1">
        <v>22.019400000000001</v>
      </c>
      <c r="F734" t="str">
        <f>_xlfn.XLOOKUP(Table6[[#This Row],[City]],Table9[city],Table9[admin_name])</f>
        <v>Subcarpathian</v>
      </c>
    </row>
    <row r="735" spans="1:6" x14ac:dyDescent="0.55000000000000004">
      <c r="A735" s="2">
        <v>183</v>
      </c>
      <c r="B735" s="1" t="s">
        <v>736</v>
      </c>
      <c r="C735" s="2">
        <v>1</v>
      </c>
      <c r="D735" s="1">
        <v>51.7667</v>
      </c>
      <c r="E735" s="1">
        <v>20.25</v>
      </c>
      <c r="F735" t="str">
        <f>_xlfn.XLOOKUP(Table6[[#This Row],[City]],Table9[city],Table9[admin_name])</f>
        <v>Łódź</v>
      </c>
    </row>
    <row r="736" spans="1:6" x14ac:dyDescent="0.55000000000000004">
      <c r="A736" s="2">
        <v>184</v>
      </c>
      <c r="B736" s="1" t="s">
        <v>737</v>
      </c>
      <c r="C736" s="2">
        <v>1</v>
      </c>
      <c r="D736" s="1">
        <v>49.422199999999997</v>
      </c>
      <c r="E736" s="1">
        <v>20.959399999999999</v>
      </c>
      <c r="F736" t="str">
        <f>_xlfn.XLOOKUP(Table6[[#This Row],[City]],Table9[city],Table9[admin_name])</f>
        <v>Lesser Poland</v>
      </c>
    </row>
    <row r="737" spans="1:6" x14ac:dyDescent="0.55000000000000004">
      <c r="A737" s="2">
        <v>185</v>
      </c>
      <c r="B737" s="1" t="s">
        <v>738</v>
      </c>
      <c r="C737" s="2">
        <v>1</v>
      </c>
      <c r="D737" s="1">
        <v>50.166699999999999</v>
      </c>
      <c r="E737" s="1">
        <v>19</v>
      </c>
      <c r="F737" t="str">
        <f>_xlfn.XLOOKUP(Table6[[#This Row],[City]],Table9[city],Table9[admin_name])</f>
        <v>Silesian</v>
      </c>
    </row>
    <row r="738" spans="1:6" x14ac:dyDescent="0.55000000000000004">
      <c r="A738" s="2">
        <v>186</v>
      </c>
      <c r="B738" s="1" t="s">
        <v>739</v>
      </c>
      <c r="C738" s="2">
        <v>1</v>
      </c>
      <c r="D738" s="1">
        <v>52.033299999999997</v>
      </c>
      <c r="E738" s="1">
        <v>23.116700000000002</v>
      </c>
      <c r="F738" t="str">
        <f>_xlfn.XLOOKUP(Table6[[#This Row],[City]],Table9[city],Table9[admin_name])</f>
        <v>Lublin</v>
      </c>
    </row>
    <row r="739" spans="1:6" x14ac:dyDescent="0.55000000000000004">
      <c r="A739" s="2">
        <v>187</v>
      </c>
      <c r="B739" s="1" t="s">
        <v>740</v>
      </c>
      <c r="C739" s="2">
        <v>1</v>
      </c>
      <c r="D739" s="1">
        <v>50.25</v>
      </c>
      <c r="E739" s="1">
        <v>19</v>
      </c>
      <c r="F739" t="str">
        <f>_xlfn.XLOOKUP(Table6[[#This Row],[City]],Table9[city],Table9[admin_name])</f>
        <v>Silesian</v>
      </c>
    </row>
    <row r="740" spans="1:6" x14ac:dyDescent="0.55000000000000004">
      <c r="A740" s="2">
        <v>188</v>
      </c>
      <c r="B740" s="1" t="s">
        <v>741</v>
      </c>
      <c r="C740" s="2">
        <v>1</v>
      </c>
      <c r="D740" s="1">
        <v>52.116700000000002</v>
      </c>
      <c r="E740" s="1">
        <v>16.116700000000002</v>
      </c>
      <c r="F740" t="str">
        <f>_xlfn.XLOOKUP(Table6[[#This Row],[City]],Table9[city],Table9[admin_name])</f>
        <v>Greater Poland</v>
      </c>
    </row>
    <row r="741" spans="1:6" x14ac:dyDescent="0.55000000000000004">
      <c r="A741" s="2">
        <v>189</v>
      </c>
      <c r="B741" s="1" t="s">
        <v>742</v>
      </c>
      <c r="C741" s="2">
        <v>1</v>
      </c>
      <c r="D741" s="1">
        <v>51.897399999999998</v>
      </c>
      <c r="E741" s="1">
        <v>17.785599999999999</v>
      </c>
      <c r="F741" t="str">
        <f>_xlfn.XLOOKUP(Table6[[#This Row],[City]],Table9[city],Table9[admin_name])</f>
        <v>Greater Poland</v>
      </c>
    </row>
    <row r="742" spans="1:6" x14ac:dyDescent="0.55000000000000004">
      <c r="A742" s="2">
        <v>190</v>
      </c>
      <c r="B742" s="1" t="s">
        <v>743</v>
      </c>
      <c r="C742" s="2">
        <v>1</v>
      </c>
      <c r="D742" s="1">
        <v>51.033299999999997</v>
      </c>
      <c r="E742" s="1">
        <v>17.333300000000001</v>
      </c>
      <c r="F742" t="str">
        <f>_xlfn.XLOOKUP(Table6[[#This Row],[City]],Table9[city],Table9[admin_name])</f>
        <v>Lower Silesian</v>
      </c>
    </row>
    <row r="743" spans="1:6" x14ac:dyDescent="0.55000000000000004">
      <c r="A743" s="2">
        <v>191</v>
      </c>
      <c r="B743" s="1" t="s">
        <v>744</v>
      </c>
      <c r="C743" s="2">
        <v>1</v>
      </c>
      <c r="D743" s="1">
        <v>51.210099999999997</v>
      </c>
      <c r="E743" s="1">
        <v>16.161899999999999</v>
      </c>
      <c r="F743" t="str">
        <f>_xlfn.XLOOKUP(Table6[[#This Row],[City]],Table9[city],Table9[admin_name])</f>
        <v>Lower Silesian</v>
      </c>
    </row>
    <row r="744" spans="1:6" x14ac:dyDescent="0.55000000000000004">
      <c r="A744" s="2">
        <v>192</v>
      </c>
      <c r="B744" s="1" t="s">
        <v>745</v>
      </c>
      <c r="C744" s="2">
        <v>1</v>
      </c>
      <c r="D744" s="1">
        <v>50.319699999999997</v>
      </c>
      <c r="E744" s="1">
        <v>17.5792</v>
      </c>
      <c r="F744" t="str">
        <f>_xlfn.XLOOKUP(Table6[[#This Row],[City]],Table9[city],Table9[admin_name])</f>
        <v>Opole</v>
      </c>
    </row>
    <row r="745" spans="1:6" x14ac:dyDescent="0.55000000000000004">
      <c r="A745" s="2">
        <v>193</v>
      </c>
      <c r="B745" s="1" t="s">
        <v>746</v>
      </c>
      <c r="C745" s="2">
        <v>1</v>
      </c>
      <c r="D745" s="1">
        <v>51.916699999999999</v>
      </c>
      <c r="E745" s="1">
        <v>22.383299999999998</v>
      </c>
      <c r="F745" t="str">
        <f>_xlfn.XLOOKUP(Table6[[#This Row],[City]],Table9[city],Table9[admin_name])</f>
        <v>Lublin</v>
      </c>
    </row>
    <row r="746" spans="1:6" x14ac:dyDescent="0.55000000000000004">
      <c r="A746" s="2">
        <v>194</v>
      </c>
      <c r="B746" s="1" t="s">
        <v>747</v>
      </c>
      <c r="C746" s="2">
        <v>1</v>
      </c>
      <c r="D746" s="1">
        <v>51.183300000000003</v>
      </c>
      <c r="E746" s="1">
        <v>22.2667</v>
      </c>
      <c r="F746" t="str">
        <f>_xlfn.XLOOKUP(Table6[[#This Row],[City]],Table9[city],Table9[admin_name])</f>
        <v>Lublin</v>
      </c>
    </row>
    <row r="747" spans="1:6" x14ac:dyDescent="0.55000000000000004">
      <c r="A747" s="2">
        <v>195</v>
      </c>
      <c r="B747" s="1" t="s">
        <v>748</v>
      </c>
      <c r="C747" s="2">
        <v>1</v>
      </c>
      <c r="D747" s="1">
        <v>54.083300000000001</v>
      </c>
      <c r="E747" s="1">
        <v>22.933299999999999</v>
      </c>
      <c r="F747" t="str">
        <f>_xlfn.XLOOKUP(Table6[[#This Row],[City]],Table9[city],Table9[admin_name])</f>
        <v>Podlachian</v>
      </c>
    </row>
    <row r="748" spans="1:6" x14ac:dyDescent="0.55000000000000004">
      <c r="A748" s="2">
        <v>196</v>
      </c>
      <c r="B748" s="1" t="s">
        <v>749</v>
      </c>
      <c r="C748" s="2">
        <v>1</v>
      </c>
      <c r="D748" s="1">
        <v>50.2333</v>
      </c>
      <c r="E748" s="1">
        <v>19.133299999999998</v>
      </c>
      <c r="F748" t="str">
        <f>_xlfn.XLOOKUP(Table6[[#This Row],[City]],Table9[city],Table9[admin_name])</f>
        <v>Silesian</v>
      </c>
    </row>
    <row r="749" spans="1:6" x14ac:dyDescent="0.55000000000000004">
      <c r="A749" s="2">
        <v>197</v>
      </c>
      <c r="B749" s="1" t="s">
        <v>750</v>
      </c>
      <c r="C749" s="2">
        <v>1</v>
      </c>
      <c r="D749" s="1">
        <v>52.25</v>
      </c>
      <c r="E749" s="1">
        <v>15.533300000000001</v>
      </c>
      <c r="F749" t="str">
        <f>_xlfn.XLOOKUP(Table6[[#This Row],[City]],Table9[city],Table9[admin_name])</f>
        <v>Lubusz</v>
      </c>
    </row>
    <row r="750" spans="1:6" x14ac:dyDescent="0.55000000000000004">
      <c r="A750" s="2">
        <v>198</v>
      </c>
      <c r="B750" s="1" t="s">
        <v>751</v>
      </c>
      <c r="C750" s="2">
        <v>1</v>
      </c>
      <c r="D750" s="1">
        <v>53.116700000000002</v>
      </c>
      <c r="E750" s="1">
        <v>20.366700000000002</v>
      </c>
      <c r="F750" t="str">
        <f>_xlfn.XLOOKUP(Table6[[#This Row],[City]],Table9[city],Table9[admin_name])</f>
        <v>Masovian</v>
      </c>
    </row>
    <row r="751" spans="1:6" x14ac:dyDescent="0.55000000000000004">
      <c r="A751" s="2">
        <v>199</v>
      </c>
      <c r="B751" s="1" t="s">
        <v>752</v>
      </c>
      <c r="C751" s="2">
        <v>1</v>
      </c>
      <c r="D751" s="1">
        <v>51.952800000000003</v>
      </c>
      <c r="E751" s="1">
        <v>20.1417</v>
      </c>
      <c r="F751" t="str">
        <f>_xlfn.XLOOKUP(Table6[[#This Row],[City]],Table9[city],Table9[admin_name])</f>
        <v>Łódź</v>
      </c>
    </row>
    <row r="752" spans="1:6" x14ac:dyDescent="0.55000000000000004">
      <c r="A752" s="2">
        <v>200</v>
      </c>
      <c r="B752" s="1" t="s">
        <v>753</v>
      </c>
      <c r="C752" s="2">
        <v>1</v>
      </c>
      <c r="D752" s="1">
        <v>50.089700000000001</v>
      </c>
      <c r="E752" s="1">
        <v>19.0928</v>
      </c>
      <c r="F752" t="str">
        <f>_xlfn.XLOOKUP(Table6[[#This Row],[City]],Table9[city],Table9[admin_name])</f>
        <v>Silesian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8F13-37C5-4BC3-BE71-7401F1C234C5}">
  <dimension ref="A1:H613"/>
  <sheetViews>
    <sheetView topLeftCell="A579" workbookViewId="0">
      <selection activeCell="B2" sqref="B2:B613"/>
    </sheetView>
  </sheetViews>
  <sheetFormatPr defaultRowHeight="14.4" x14ac:dyDescent="0.55000000000000004"/>
  <cols>
    <col min="1" max="1" width="21.26171875" bestFit="1" customWidth="1"/>
    <col min="2" max="2" width="26.83984375" bestFit="1" customWidth="1"/>
    <col min="3" max="3" width="6.68359375" bestFit="1" customWidth="1"/>
    <col min="4" max="4" width="8.9453125" bestFit="1" customWidth="1"/>
    <col min="5" max="5" width="6.26171875" bestFit="1" customWidth="1"/>
    <col min="6" max="7" width="26.83984375" bestFit="1" customWidth="1"/>
    <col min="8" max="8" width="11.578125" bestFit="1" customWidth="1"/>
    <col min="9" max="9" width="17.7890625" bestFit="1" customWidth="1"/>
  </cols>
  <sheetData>
    <row r="1" spans="1:8" x14ac:dyDescent="0.55000000000000004">
      <c r="A1" t="s">
        <v>757</v>
      </c>
      <c r="B1" t="s">
        <v>758</v>
      </c>
    </row>
    <row r="2" spans="1:8" x14ac:dyDescent="0.55000000000000004">
      <c r="A2" t="s">
        <v>160</v>
      </c>
      <c r="B2" t="s">
        <v>754</v>
      </c>
      <c r="G2" t="str" cm="1">
        <f t="array" ref="G2:G17">_xlfn.UNIQUE(cities_state_de[admin_name])</f>
        <v>Baden-Württemberg</v>
      </c>
    </row>
    <row r="3" spans="1:8" x14ac:dyDescent="0.55000000000000004">
      <c r="A3" t="s">
        <v>265</v>
      </c>
      <c r="B3" t="s">
        <v>754</v>
      </c>
      <c r="G3" t="str">
        <v>Bavaria</v>
      </c>
      <c r="H3" t="s">
        <v>952</v>
      </c>
    </row>
    <row r="4" spans="1:8" x14ac:dyDescent="0.55000000000000004">
      <c r="A4" t="s">
        <v>58</v>
      </c>
      <c r="B4" t="s">
        <v>754</v>
      </c>
      <c r="G4" t="str">
        <v>Berlin</v>
      </c>
    </row>
    <row r="5" spans="1:8" x14ac:dyDescent="0.55000000000000004">
      <c r="A5" t="s">
        <v>434</v>
      </c>
      <c r="B5" t="s">
        <v>754</v>
      </c>
      <c r="G5" t="str">
        <v>Brandenburg</v>
      </c>
    </row>
    <row r="6" spans="1:8" x14ac:dyDescent="0.55000000000000004">
      <c r="A6" t="s">
        <v>11</v>
      </c>
      <c r="B6" t="s">
        <v>754</v>
      </c>
      <c r="G6" t="str">
        <v>Bremen</v>
      </c>
    </row>
    <row r="7" spans="1:8" x14ac:dyDescent="0.55000000000000004">
      <c r="A7" t="s">
        <v>281</v>
      </c>
      <c r="B7" t="s">
        <v>754</v>
      </c>
      <c r="G7" t="str">
        <v>Hamburg</v>
      </c>
    </row>
    <row r="8" spans="1:8" x14ac:dyDescent="0.55000000000000004">
      <c r="A8" t="s">
        <v>505</v>
      </c>
      <c r="B8" t="s">
        <v>754</v>
      </c>
      <c r="G8" t="str">
        <v>Hesse</v>
      </c>
      <c r="H8" t="s">
        <v>953</v>
      </c>
    </row>
    <row r="9" spans="1:8" x14ac:dyDescent="0.55000000000000004">
      <c r="A9" t="s">
        <v>220</v>
      </c>
      <c r="B9" t="s">
        <v>754</v>
      </c>
      <c r="G9" t="str">
        <v>Lower Saxony</v>
      </c>
      <c r="H9" t="s">
        <v>954</v>
      </c>
    </row>
    <row r="10" spans="1:8" x14ac:dyDescent="0.55000000000000004">
      <c r="A10" t="s">
        <v>487</v>
      </c>
      <c r="B10" t="s">
        <v>754</v>
      </c>
      <c r="G10" t="str">
        <v>Mecklenburg-Western Pomerania</v>
      </c>
      <c r="H10" t="s">
        <v>955</v>
      </c>
    </row>
    <row r="11" spans="1:8" x14ac:dyDescent="0.55000000000000004">
      <c r="A11" t="s">
        <v>544</v>
      </c>
      <c r="B11" t="s">
        <v>754</v>
      </c>
      <c r="G11" t="str">
        <v>North Rhine-Westphalia</v>
      </c>
      <c r="H11" t="s">
        <v>956</v>
      </c>
    </row>
    <row r="12" spans="1:8" x14ac:dyDescent="0.55000000000000004">
      <c r="A12" t="s">
        <v>406</v>
      </c>
      <c r="B12" t="s">
        <v>754</v>
      </c>
      <c r="G12" t="str">
        <v>Rhineland-Palatinate</v>
      </c>
      <c r="H12" t="s">
        <v>957</v>
      </c>
    </row>
    <row r="13" spans="1:8" x14ac:dyDescent="0.55000000000000004">
      <c r="A13" t="s">
        <v>64</v>
      </c>
      <c r="B13" t="s">
        <v>754</v>
      </c>
      <c r="G13" t="str">
        <v>Saarland</v>
      </c>
    </row>
    <row r="14" spans="1:8" x14ac:dyDescent="0.55000000000000004">
      <c r="A14" t="s">
        <v>417</v>
      </c>
      <c r="B14" t="s">
        <v>754</v>
      </c>
      <c r="G14" t="str">
        <v>Saxony</v>
      </c>
      <c r="H14" t="s">
        <v>958</v>
      </c>
    </row>
    <row r="15" spans="1:8" x14ac:dyDescent="0.55000000000000004">
      <c r="A15" t="s">
        <v>318</v>
      </c>
      <c r="B15" t="s">
        <v>754</v>
      </c>
      <c r="G15" t="str">
        <v>Saxony-Anhalt</v>
      </c>
      <c r="H15" t="s">
        <v>959</v>
      </c>
    </row>
    <row r="16" spans="1:8" x14ac:dyDescent="0.55000000000000004">
      <c r="A16" t="s">
        <v>338</v>
      </c>
      <c r="B16" t="s">
        <v>754</v>
      </c>
      <c r="G16" t="str">
        <v>Schleswig-Holstein</v>
      </c>
    </row>
    <row r="17" spans="1:8" x14ac:dyDescent="0.55000000000000004">
      <c r="A17" t="s">
        <v>259</v>
      </c>
      <c r="B17" t="s">
        <v>754</v>
      </c>
      <c r="G17" t="str">
        <v>Thuringia</v>
      </c>
      <c r="H17" t="s">
        <v>960</v>
      </c>
    </row>
    <row r="18" spans="1:8" x14ac:dyDescent="0.55000000000000004">
      <c r="A18" t="s">
        <v>456</v>
      </c>
      <c r="B18" t="s">
        <v>754</v>
      </c>
    </row>
    <row r="19" spans="1:8" x14ac:dyDescent="0.55000000000000004">
      <c r="A19" t="s">
        <v>475</v>
      </c>
      <c r="B19" t="s">
        <v>754</v>
      </c>
    </row>
    <row r="20" spans="1:8" x14ac:dyDescent="0.55000000000000004">
      <c r="A20" t="s">
        <v>478</v>
      </c>
      <c r="B20" t="s">
        <v>754</v>
      </c>
    </row>
    <row r="21" spans="1:8" x14ac:dyDescent="0.55000000000000004">
      <c r="A21" t="s">
        <v>527</v>
      </c>
      <c r="B21" t="s">
        <v>754</v>
      </c>
    </row>
    <row r="22" spans="1:8" x14ac:dyDescent="0.55000000000000004">
      <c r="A22" t="s">
        <v>145</v>
      </c>
      <c r="B22" t="s">
        <v>754</v>
      </c>
    </row>
    <row r="23" spans="1:8" x14ac:dyDescent="0.55000000000000004">
      <c r="A23" t="s">
        <v>243</v>
      </c>
      <c r="B23" t="s">
        <v>754</v>
      </c>
    </row>
    <row r="24" spans="1:8" x14ac:dyDescent="0.55000000000000004">
      <c r="A24" t="s">
        <v>236</v>
      </c>
      <c r="B24" t="s">
        <v>754</v>
      </c>
    </row>
    <row r="25" spans="1:8" x14ac:dyDescent="0.55000000000000004">
      <c r="A25" t="s">
        <v>316</v>
      </c>
      <c r="B25" t="s">
        <v>754</v>
      </c>
    </row>
    <row r="26" spans="1:8" x14ac:dyDescent="0.55000000000000004">
      <c r="A26" t="s">
        <v>112</v>
      </c>
      <c r="B26" t="s">
        <v>754</v>
      </c>
    </row>
    <row r="27" spans="1:8" x14ac:dyDescent="0.55000000000000004">
      <c r="A27" t="s">
        <v>424</v>
      </c>
      <c r="B27" t="s">
        <v>754</v>
      </c>
    </row>
    <row r="28" spans="1:8" x14ac:dyDescent="0.55000000000000004">
      <c r="A28" t="s">
        <v>444</v>
      </c>
      <c r="B28" t="s">
        <v>754</v>
      </c>
    </row>
    <row r="29" spans="1:8" x14ac:dyDescent="0.55000000000000004">
      <c r="A29" t="s">
        <v>395</v>
      </c>
      <c r="B29" t="s">
        <v>754</v>
      </c>
    </row>
    <row r="30" spans="1:8" x14ac:dyDescent="0.55000000000000004">
      <c r="A30" t="s">
        <v>240</v>
      </c>
      <c r="B30" t="s">
        <v>754</v>
      </c>
    </row>
    <row r="31" spans="1:8" x14ac:dyDescent="0.55000000000000004">
      <c r="A31" t="s">
        <v>138</v>
      </c>
      <c r="B31" t="s">
        <v>754</v>
      </c>
    </row>
    <row r="32" spans="1:8" x14ac:dyDescent="0.55000000000000004">
      <c r="A32" t="s">
        <v>114</v>
      </c>
      <c r="B32" t="s">
        <v>754</v>
      </c>
    </row>
    <row r="33" spans="1:2" x14ac:dyDescent="0.55000000000000004">
      <c r="A33" t="s">
        <v>239</v>
      </c>
      <c r="B33" t="s">
        <v>754</v>
      </c>
    </row>
    <row r="34" spans="1:2" x14ac:dyDescent="0.55000000000000004">
      <c r="A34" t="s">
        <v>399</v>
      </c>
      <c r="B34" t="s">
        <v>754</v>
      </c>
    </row>
    <row r="35" spans="1:2" x14ac:dyDescent="0.55000000000000004">
      <c r="A35" t="s">
        <v>94</v>
      </c>
      <c r="B35" t="s">
        <v>754</v>
      </c>
    </row>
    <row r="36" spans="1:2" x14ac:dyDescent="0.55000000000000004">
      <c r="A36" t="s">
        <v>152</v>
      </c>
      <c r="B36" t="s">
        <v>754</v>
      </c>
    </row>
    <row r="37" spans="1:2" x14ac:dyDescent="0.55000000000000004">
      <c r="A37" t="s">
        <v>437</v>
      </c>
      <c r="B37" t="s">
        <v>754</v>
      </c>
    </row>
    <row r="38" spans="1:2" x14ac:dyDescent="0.55000000000000004">
      <c r="A38" t="s">
        <v>222</v>
      </c>
      <c r="B38" t="s">
        <v>754</v>
      </c>
    </row>
    <row r="39" spans="1:2" x14ac:dyDescent="0.55000000000000004">
      <c r="A39" t="s">
        <v>193</v>
      </c>
      <c r="B39" t="s">
        <v>754</v>
      </c>
    </row>
    <row r="40" spans="1:2" x14ac:dyDescent="0.55000000000000004">
      <c r="A40" t="s">
        <v>255</v>
      </c>
      <c r="B40" t="s">
        <v>754</v>
      </c>
    </row>
    <row r="41" spans="1:2" x14ac:dyDescent="0.55000000000000004">
      <c r="A41" t="s">
        <v>35</v>
      </c>
      <c r="B41" t="s">
        <v>754</v>
      </c>
    </row>
    <row r="42" spans="1:2" x14ac:dyDescent="0.55000000000000004">
      <c r="A42" t="s">
        <v>504</v>
      </c>
      <c r="B42" t="s">
        <v>754</v>
      </c>
    </row>
    <row r="43" spans="1:2" x14ac:dyDescent="0.55000000000000004">
      <c r="A43" t="s">
        <v>6</v>
      </c>
      <c r="B43" t="s">
        <v>754</v>
      </c>
    </row>
    <row r="44" spans="1:2" x14ac:dyDescent="0.55000000000000004">
      <c r="A44" t="s">
        <v>149</v>
      </c>
      <c r="B44" t="s">
        <v>754</v>
      </c>
    </row>
    <row r="45" spans="1:2" x14ac:dyDescent="0.55000000000000004">
      <c r="A45" t="s">
        <v>105</v>
      </c>
      <c r="B45" t="s">
        <v>754</v>
      </c>
    </row>
    <row r="46" spans="1:2" x14ac:dyDescent="0.55000000000000004">
      <c r="A46" t="s">
        <v>124</v>
      </c>
      <c r="B46" t="s">
        <v>754</v>
      </c>
    </row>
    <row r="47" spans="1:2" x14ac:dyDescent="0.55000000000000004">
      <c r="A47" t="s">
        <v>305</v>
      </c>
      <c r="B47" t="s">
        <v>754</v>
      </c>
    </row>
    <row r="48" spans="1:2" x14ac:dyDescent="0.55000000000000004">
      <c r="A48" t="s">
        <v>386</v>
      </c>
      <c r="B48" t="s">
        <v>754</v>
      </c>
    </row>
    <row r="49" spans="1:2" x14ac:dyDescent="0.55000000000000004">
      <c r="A49" t="s">
        <v>202</v>
      </c>
      <c r="B49" t="s">
        <v>754</v>
      </c>
    </row>
    <row r="50" spans="1:2" x14ac:dyDescent="0.55000000000000004">
      <c r="A50" t="s">
        <v>411</v>
      </c>
      <c r="B50" t="s">
        <v>754</v>
      </c>
    </row>
    <row r="51" spans="1:2" x14ac:dyDescent="0.55000000000000004">
      <c r="A51" t="s">
        <v>48</v>
      </c>
      <c r="B51" t="s">
        <v>754</v>
      </c>
    </row>
    <row r="52" spans="1:2" x14ac:dyDescent="0.55000000000000004">
      <c r="A52" t="s">
        <v>197</v>
      </c>
      <c r="B52" t="s">
        <v>754</v>
      </c>
    </row>
    <row r="53" spans="1:2" x14ac:dyDescent="0.55000000000000004">
      <c r="A53" t="s">
        <v>299</v>
      </c>
      <c r="B53" t="s">
        <v>754</v>
      </c>
    </row>
    <row r="54" spans="1:2" x14ac:dyDescent="0.55000000000000004">
      <c r="A54" t="s">
        <v>452</v>
      </c>
      <c r="B54" t="s">
        <v>754</v>
      </c>
    </row>
    <row r="55" spans="1:2" x14ac:dyDescent="0.55000000000000004">
      <c r="A55" t="s">
        <v>458</v>
      </c>
      <c r="B55" t="s">
        <v>754</v>
      </c>
    </row>
    <row r="56" spans="1:2" x14ac:dyDescent="0.55000000000000004">
      <c r="A56" t="s">
        <v>457</v>
      </c>
      <c r="B56" t="s">
        <v>754</v>
      </c>
    </row>
    <row r="57" spans="1:2" x14ac:dyDescent="0.55000000000000004">
      <c r="A57" t="s">
        <v>76</v>
      </c>
      <c r="B57" t="s">
        <v>754</v>
      </c>
    </row>
    <row r="58" spans="1:2" x14ac:dyDescent="0.55000000000000004">
      <c r="A58" t="s">
        <v>407</v>
      </c>
      <c r="B58" t="s">
        <v>754</v>
      </c>
    </row>
    <row r="59" spans="1:2" x14ac:dyDescent="0.55000000000000004">
      <c r="A59" t="s">
        <v>473</v>
      </c>
      <c r="B59" t="s">
        <v>754</v>
      </c>
    </row>
    <row r="60" spans="1:2" x14ac:dyDescent="0.55000000000000004">
      <c r="A60" t="s">
        <v>215</v>
      </c>
      <c r="B60" t="s">
        <v>754</v>
      </c>
    </row>
    <row r="61" spans="1:2" x14ac:dyDescent="0.55000000000000004">
      <c r="A61" t="s">
        <v>462</v>
      </c>
      <c r="B61" t="s">
        <v>754</v>
      </c>
    </row>
    <row r="62" spans="1:2" x14ac:dyDescent="0.55000000000000004">
      <c r="A62" t="s">
        <v>109</v>
      </c>
      <c r="B62" t="s">
        <v>754</v>
      </c>
    </row>
    <row r="63" spans="1:2" x14ac:dyDescent="0.55000000000000004">
      <c r="A63" t="s">
        <v>528</v>
      </c>
      <c r="B63" t="s">
        <v>754</v>
      </c>
    </row>
    <row r="64" spans="1:2" x14ac:dyDescent="0.55000000000000004">
      <c r="A64" t="s">
        <v>372</v>
      </c>
      <c r="B64" t="s">
        <v>754</v>
      </c>
    </row>
    <row r="65" spans="1:2" x14ac:dyDescent="0.55000000000000004">
      <c r="A65" t="s">
        <v>515</v>
      </c>
      <c r="B65" t="s">
        <v>754</v>
      </c>
    </row>
    <row r="66" spans="1:2" x14ac:dyDescent="0.55000000000000004">
      <c r="A66" t="s">
        <v>330</v>
      </c>
      <c r="B66" t="s">
        <v>754</v>
      </c>
    </row>
    <row r="67" spans="1:2" x14ac:dyDescent="0.55000000000000004">
      <c r="A67" t="s">
        <v>495</v>
      </c>
      <c r="B67" t="s">
        <v>754</v>
      </c>
    </row>
    <row r="68" spans="1:2" x14ac:dyDescent="0.55000000000000004">
      <c r="A68" t="s">
        <v>477</v>
      </c>
      <c r="B68" t="s">
        <v>754</v>
      </c>
    </row>
    <row r="69" spans="1:2" x14ac:dyDescent="0.55000000000000004">
      <c r="A69" t="s">
        <v>433</v>
      </c>
      <c r="B69" t="s">
        <v>754</v>
      </c>
    </row>
    <row r="70" spans="1:2" x14ac:dyDescent="0.55000000000000004">
      <c r="A70" t="s">
        <v>438</v>
      </c>
      <c r="B70" t="s">
        <v>754</v>
      </c>
    </row>
    <row r="71" spans="1:2" x14ac:dyDescent="0.55000000000000004">
      <c r="A71" t="s">
        <v>206</v>
      </c>
      <c r="B71" t="s">
        <v>754</v>
      </c>
    </row>
    <row r="72" spans="1:2" x14ac:dyDescent="0.55000000000000004">
      <c r="A72" t="s">
        <v>521</v>
      </c>
      <c r="B72" t="s">
        <v>754</v>
      </c>
    </row>
    <row r="73" spans="1:2" x14ac:dyDescent="0.55000000000000004">
      <c r="A73" t="s">
        <v>5</v>
      </c>
      <c r="B73" t="s">
        <v>754</v>
      </c>
    </row>
    <row r="74" spans="1:2" x14ac:dyDescent="0.55000000000000004">
      <c r="A74" t="s">
        <v>59</v>
      </c>
      <c r="B74" t="s">
        <v>754</v>
      </c>
    </row>
    <row r="75" spans="1:2" x14ac:dyDescent="0.55000000000000004">
      <c r="A75" t="s">
        <v>323</v>
      </c>
      <c r="B75" t="s">
        <v>754</v>
      </c>
    </row>
    <row r="76" spans="1:2" x14ac:dyDescent="0.55000000000000004">
      <c r="A76" t="s">
        <v>364</v>
      </c>
      <c r="B76" t="s">
        <v>754</v>
      </c>
    </row>
    <row r="77" spans="1:2" x14ac:dyDescent="0.55000000000000004">
      <c r="A77" t="s">
        <v>268</v>
      </c>
      <c r="B77" t="s">
        <v>754</v>
      </c>
    </row>
    <row r="78" spans="1:2" x14ac:dyDescent="0.55000000000000004">
      <c r="A78" t="s">
        <v>85</v>
      </c>
      <c r="B78" t="s">
        <v>754</v>
      </c>
    </row>
    <row r="79" spans="1:2" x14ac:dyDescent="0.55000000000000004">
      <c r="A79" t="s">
        <v>777</v>
      </c>
      <c r="B79" t="s">
        <v>754</v>
      </c>
    </row>
    <row r="80" spans="1:2" x14ac:dyDescent="0.55000000000000004">
      <c r="A80" t="s">
        <v>789</v>
      </c>
      <c r="B80" t="s">
        <v>754</v>
      </c>
    </row>
    <row r="81" spans="1:2" x14ac:dyDescent="0.55000000000000004">
      <c r="A81" t="s">
        <v>497</v>
      </c>
      <c r="B81" t="s">
        <v>760</v>
      </c>
    </row>
    <row r="82" spans="1:2" x14ac:dyDescent="0.55000000000000004">
      <c r="A82" t="s">
        <v>520</v>
      </c>
      <c r="B82" t="s">
        <v>760</v>
      </c>
    </row>
    <row r="83" spans="1:2" x14ac:dyDescent="0.55000000000000004">
      <c r="A83" t="s">
        <v>41</v>
      </c>
      <c r="B83" t="s">
        <v>760</v>
      </c>
    </row>
    <row r="84" spans="1:2" x14ac:dyDescent="0.55000000000000004">
      <c r="A84" t="s">
        <v>256</v>
      </c>
      <c r="B84" t="s">
        <v>760</v>
      </c>
    </row>
    <row r="85" spans="1:2" x14ac:dyDescent="0.55000000000000004">
      <c r="A85" t="s">
        <v>280</v>
      </c>
      <c r="B85" t="s">
        <v>760</v>
      </c>
    </row>
    <row r="86" spans="1:2" x14ac:dyDescent="0.55000000000000004">
      <c r="A86" t="s">
        <v>393</v>
      </c>
      <c r="B86" t="s">
        <v>760</v>
      </c>
    </row>
    <row r="87" spans="1:2" x14ac:dyDescent="0.55000000000000004">
      <c r="A87" t="s">
        <v>8</v>
      </c>
      <c r="B87" t="s">
        <v>760</v>
      </c>
    </row>
    <row r="88" spans="1:2" x14ac:dyDescent="0.55000000000000004">
      <c r="A88" t="s">
        <v>67</v>
      </c>
      <c r="B88" t="s">
        <v>760</v>
      </c>
    </row>
    <row r="89" spans="1:2" x14ac:dyDescent="0.55000000000000004">
      <c r="A89" t="s">
        <v>84</v>
      </c>
      <c r="B89" t="s">
        <v>760</v>
      </c>
    </row>
    <row r="90" spans="1:2" x14ac:dyDescent="0.55000000000000004">
      <c r="A90" t="s">
        <v>241</v>
      </c>
      <c r="B90" t="s">
        <v>760</v>
      </c>
    </row>
    <row r="91" spans="1:2" x14ac:dyDescent="0.55000000000000004">
      <c r="A91" t="s">
        <v>53</v>
      </c>
      <c r="B91" t="s">
        <v>760</v>
      </c>
    </row>
    <row r="92" spans="1:2" x14ac:dyDescent="0.55000000000000004">
      <c r="A92" t="s">
        <v>317</v>
      </c>
      <c r="B92" t="s">
        <v>760</v>
      </c>
    </row>
    <row r="93" spans="1:2" x14ac:dyDescent="0.55000000000000004">
      <c r="A93" t="s">
        <v>383</v>
      </c>
      <c r="B93" t="s">
        <v>760</v>
      </c>
    </row>
    <row r="94" spans="1:2" x14ac:dyDescent="0.55000000000000004">
      <c r="A94" t="s">
        <v>233</v>
      </c>
      <c r="B94" t="s">
        <v>760</v>
      </c>
    </row>
    <row r="95" spans="1:2" x14ac:dyDescent="0.55000000000000004">
      <c r="A95" t="s">
        <v>498</v>
      </c>
      <c r="B95" t="s">
        <v>760</v>
      </c>
    </row>
    <row r="96" spans="1:2" x14ac:dyDescent="0.55000000000000004">
      <c r="A96" t="s">
        <v>537</v>
      </c>
      <c r="B96" t="s">
        <v>760</v>
      </c>
    </row>
    <row r="97" spans="1:2" x14ac:dyDescent="0.55000000000000004">
      <c r="A97" t="s">
        <v>184</v>
      </c>
      <c r="B97" t="s">
        <v>760</v>
      </c>
    </row>
    <row r="98" spans="1:2" x14ac:dyDescent="0.55000000000000004">
      <c r="A98" t="s">
        <v>427</v>
      </c>
      <c r="B98" t="s">
        <v>760</v>
      </c>
    </row>
    <row r="99" spans="1:2" x14ac:dyDescent="0.55000000000000004">
      <c r="A99" t="s">
        <v>493</v>
      </c>
      <c r="B99" t="s">
        <v>760</v>
      </c>
    </row>
    <row r="100" spans="1:2" x14ac:dyDescent="0.55000000000000004">
      <c r="A100" t="s">
        <v>264</v>
      </c>
      <c r="B100" t="s">
        <v>760</v>
      </c>
    </row>
    <row r="101" spans="1:2" x14ac:dyDescent="0.55000000000000004">
      <c r="A101" t="s">
        <v>284</v>
      </c>
      <c r="B101" t="s">
        <v>760</v>
      </c>
    </row>
    <row r="102" spans="1:2" x14ac:dyDescent="0.55000000000000004">
      <c r="A102" t="s">
        <v>496</v>
      </c>
      <c r="B102" t="s">
        <v>760</v>
      </c>
    </row>
    <row r="103" spans="1:2" x14ac:dyDescent="0.55000000000000004">
      <c r="A103" t="s">
        <v>17</v>
      </c>
      <c r="B103" t="s">
        <v>760</v>
      </c>
    </row>
    <row r="104" spans="1:2" x14ac:dyDescent="0.55000000000000004">
      <c r="A104" t="s">
        <v>101</v>
      </c>
      <c r="B104" t="s">
        <v>760</v>
      </c>
    </row>
    <row r="105" spans="1:2" x14ac:dyDescent="0.55000000000000004">
      <c r="A105" t="s">
        <v>431</v>
      </c>
      <c r="B105" t="s">
        <v>760</v>
      </c>
    </row>
    <row r="106" spans="1:2" x14ac:dyDescent="0.55000000000000004">
      <c r="A106" t="s">
        <v>362</v>
      </c>
      <c r="B106" t="s">
        <v>760</v>
      </c>
    </row>
    <row r="107" spans="1:2" x14ac:dyDescent="0.55000000000000004">
      <c r="A107" t="s">
        <v>414</v>
      </c>
      <c r="B107" t="s">
        <v>760</v>
      </c>
    </row>
    <row r="108" spans="1:2" x14ac:dyDescent="0.55000000000000004">
      <c r="A108" t="s">
        <v>73</v>
      </c>
      <c r="B108" t="s">
        <v>760</v>
      </c>
    </row>
    <row r="109" spans="1:2" x14ac:dyDescent="0.55000000000000004">
      <c r="A109" t="s">
        <v>367</v>
      </c>
      <c r="B109" t="s">
        <v>760</v>
      </c>
    </row>
    <row r="110" spans="1:2" x14ac:dyDescent="0.55000000000000004">
      <c r="A110" t="s">
        <v>96</v>
      </c>
      <c r="B110" t="s">
        <v>760</v>
      </c>
    </row>
    <row r="111" spans="1:2" x14ac:dyDescent="0.55000000000000004">
      <c r="A111" t="s">
        <v>384</v>
      </c>
      <c r="B111" t="s">
        <v>760</v>
      </c>
    </row>
    <row r="112" spans="1:2" x14ac:dyDescent="0.55000000000000004">
      <c r="A112" t="s">
        <v>117</v>
      </c>
      <c r="B112" t="s">
        <v>760</v>
      </c>
    </row>
    <row r="113" spans="1:2" x14ac:dyDescent="0.55000000000000004">
      <c r="A113" t="s">
        <v>294</v>
      </c>
      <c r="B113" t="s">
        <v>760</v>
      </c>
    </row>
    <row r="114" spans="1:2" x14ac:dyDescent="0.55000000000000004">
      <c r="A114" t="s">
        <v>81</v>
      </c>
      <c r="B114" t="s">
        <v>760</v>
      </c>
    </row>
    <row r="115" spans="1:2" x14ac:dyDescent="0.55000000000000004">
      <c r="A115" t="s">
        <v>465</v>
      </c>
      <c r="B115" t="s">
        <v>760</v>
      </c>
    </row>
    <row r="116" spans="1:2" x14ac:dyDescent="0.55000000000000004">
      <c r="A116" t="s">
        <v>423</v>
      </c>
      <c r="B116" t="s">
        <v>760</v>
      </c>
    </row>
    <row r="117" spans="1:2" x14ac:dyDescent="0.55000000000000004">
      <c r="A117" t="s">
        <v>394</v>
      </c>
      <c r="B117" t="s">
        <v>760</v>
      </c>
    </row>
    <row r="118" spans="1:2" x14ac:dyDescent="0.55000000000000004">
      <c r="A118" t="s">
        <v>278</v>
      </c>
      <c r="B118" t="s">
        <v>760</v>
      </c>
    </row>
    <row r="119" spans="1:2" x14ac:dyDescent="0.55000000000000004">
      <c r="A119" t="s">
        <v>251</v>
      </c>
      <c r="B119" t="s">
        <v>760</v>
      </c>
    </row>
    <row r="120" spans="1:2" x14ac:dyDescent="0.55000000000000004">
      <c r="A120" t="s">
        <v>78</v>
      </c>
      <c r="B120" t="s">
        <v>760</v>
      </c>
    </row>
    <row r="121" spans="1:2" x14ac:dyDescent="0.55000000000000004">
      <c r="A121" t="s">
        <v>428</v>
      </c>
      <c r="B121" t="s">
        <v>760</v>
      </c>
    </row>
    <row r="122" spans="1:2" x14ac:dyDescent="0.55000000000000004">
      <c r="A122" t="s">
        <v>269</v>
      </c>
      <c r="B122" t="s">
        <v>760</v>
      </c>
    </row>
    <row r="123" spans="1:2" x14ac:dyDescent="0.55000000000000004">
      <c r="A123" t="s">
        <v>326</v>
      </c>
      <c r="B123" t="s">
        <v>760</v>
      </c>
    </row>
    <row r="124" spans="1:2" x14ac:dyDescent="0.55000000000000004">
      <c r="A124" t="s">
        <v>319</v>
      </c>
      <c r="B124" t="s">
        <v>760</v>
      </c>
    </row>
    <row r="125" spans="1:2" x14ac:dyDescent="0.55000000000000004">
      <c r="A125" t="s">
        <v>21</v>
      </c>
      <c r="B125" t="s">
        <v>760</v>
      </c>
    </row>
    <row r="126" spans="1:2" x14ac:dyDescent="0.55000000000000004">
      <c r="A126" t="s">
        <v>14</v>
      </c>
      <c r="B126" t="s">
        <v>760</v>
      </c>
    </row>
    <row r="127" spans="1:2" x14ac:dyDescent="0.55000000000000004">
      <c r="A127" t="s">
        <v>455</v>
      </c>
      <c r="B127" t="s">
        <v>760</v>
      </c>
    </row>
    <row r="128" spans="1:2" x14ac:dyDescent="0.55000000000000004">
      <c r="A128" t="s">
        <v>20</v>
      </c>
      <c r="B128" t="s">
        <v>760</v>
      </c>
    </row>
    <row r="129" spans="1:2" x14ac:dyDescent="0.55000000000000004">
      <c r="A129" t="s">
        <v>540</v>
      </c>
      <c r="B129" t="s">
        <v>760</v>
      </c>
    </row>
    <row r="130" spans="1:2" x14ac:dyDescent="0.55000000000000004">
      <c r="A130" t="s">
        <v>468</v>
      </c>
      <c r="B130" t="s">
        <v>760</v>
      </c>
    </row>
    <row r="131" spans="1:2" x14ac:dyDescent="0.55000000000000004">
      <c r="A131" t="s">
        <v>328</v>
      </c>
      <c r="B131" t="s">
        <v>760</v>
      </c>
    </row>
    <row r="132" spans="1:2" x14ac:dyDescent="0.55000000000000004">
      <c r="A132" t="s">
        <v>550</v>
      </c>
      <c r="B132" t="s">
        <v>760</v>
      </c>
    </row>
    <row r="133" spans="1:2" x14ac:dyDescent="0.55000000000000004">
      <c r="A133" t="s">
        <v>339</v>
      </c>
      <c r="B133" t="s">
        <v>760</v>
      </c>
    </row>
    <row r="134" spans="1:2" x14ac:dyDescent="0.55000000000000004">
      <c r="A134" t="s">
        <v>408</v>
      </c>
      <c r="B134" t="s">
        <v>760</v>
      </c>
    </row>
    <row r="135" spans="1:2" x14ac:dyDescent="0.55000000000000004">
      <c r="A135" t="s">
        <v>244</v>
      </c>
      <c r="B135" t="s">
        <v>760</v>
      </c>
    </row>
    <row r="136" spans="1:2" x14ac:dyDescent="0.55000000000000004">
      <c r="A136" t="s">
        <v>51</v>
      </c>
      <c r="B136" t="s">
        <v>760</v>
      </c>
    </row>
    <row r="137" spans="1:2" x14ac:dyDescent="0.55000000000000004">
      <c r="A137" t="s">
        <v>144</v>
      </c>
      <c r="B137" t="s">
        <v>760</v>
      </c>
    </row>
    <row r="138" spans="1:2" x14ac:dyDescent="0.55000000000000004">
      <c r="A138" t="s">
        <v>304</v>
      </c>
      <c r="B138" t="s">
        <v>760</v>
      </c>
    </row>
    <row r="139" spans="1:2" x14ac:dyDescent="0.55000000000000004">
      <c r="A139" t="s">
        <v>321</v>
      </c>
      <c r="B139" t="s">
        <v>760</v>
      </c>
    </row>
    <row r="140" spans="1:2" x14ac:dyDescent="0.55000000000000004">
      <c r="A140" t="s">
        <v>273</v>
      </c>
      <c r="B140" t="s">
        <v>760</v>
      </c>
    </row>
    <row r="141" spans="1:2" x14ac:dyDescent="0.55000000000000004">
      <c r="A141" t="s">
        <v>314</v>
      </c>
      <c r="B141" t="s">
        <v>760</v>
      </c>
    </row>
    <row r="142" spans="1:2" x14ac:dyDescent="0.55000000000000004">
      <c r="A142" t="s">
        <v>354</v>
      </c>
      <c r="B142" t="s">
        <v>760</v>
      </c>
    </row>
    <row r="143" spans="1:2" x14ac:dyDescent="0.55000000000000004">
      <c r="A143" t="s">
        <v>55</v>
      </c>
      <c r="B143" t="s">
        <v>760</v>
      </c>
    </row>
    <row r="144" spans="1:2" x14ac:dyDescent="0.55000000000000004">
      <c r="A144" t="s">
        <v>436</v>
      </c>
      <c r="B144" t="s">
        <v>760</v>
      </c>
    </row>
    <row r="145" spans="1:2" x14ac:dyDescent="0.55000000000000004">
      <c r="A145" t="s">
        <v>772</v>
      </c>
      <c r="B145" t="s">
        <v>760</v>
      </c>
    </row>
    <row r="146" spans="1:2" x14ac:dyDescent="0.55000000000000004">
      <c r="A146" t="s">
        <v>774</v>
      </c>
      <c r="B146" t="s">
        <v>760</v>
      </c>
    </row>
    <row r="147" spans="1:2" x14ac:dyDescent="0.55000000000000004">
      <c r="A147" t="s">
        <v>775</v>
      </c>
      <c r="B147" t="s">
        <v>760</v>
      </c>
    </row>
    <row r="148" spans="1:2" x14ac:dyDescent="0.55000000000000004">
      <c r="A148" t="s">
        <v>776</v>
      </c>
      <c r="B148" t="s">
        <v>760</v>
      </c>
    </row>
    <row r="149" spans="1:2" x14ac:dyDescent="0.55000000000000004">
      <c r="A149" t="s">
        <v>778</v>
      </c>
      <c r="B149" t="s">
        <v>760</v>
      </c>
    </row>
    <row r="150" spans="1:2" x14ac:dyDescent="0.55000000000000004">
      <c r="A150" t="s">
        <v>787</v>
      </c>
      <c r="B150" t="s">
        <v>760</v>
      </c>
    </row>
    <row r="151" spans="1:2" x14ac:dyDescent="0.55000000000000004">
      <c r="A151" t="s">
        <v>788</v>
      </c>
      <c r="B151" t="s">
        <v>760</v>
      </c>
    </row>
    <row r="152" spans="1:2" x14ac:dyDescent="0.55000000000000004">
      <c r="A152" t="s">
        <v>109</v>
      </c>
      <c r="B152" t="s">
        <v>760</v>
      </c>
    </row>
    <row r="153" spans="1:2" x14ac:dyDescent="0.55000000000000004">
      <c r="A153" t="s">
        <v>790</v>
      </c>
      <c r="B153" t="s">
        <v>760</v>
      </c>
    </row>
    <row r="154" spans="1:2" x14ac:dyDescent="0.55000000000000004">
      <c r="A154" t="s">
        <v>791</v>
      </c>
      <c r="B154" t="s">
        <v>760</v>
      </c>
    </row>
    <row r="155" spans="1:2" x14ac:dyDescent="0.55000000000000004">
      <c r="A155" t="s">
        <v>795</v>
      </c>
      <c r="B155" t="s">
        <v>760</v>
      </c>
    </row>
    <row r="156" spans="1:2" x14ac:dyDescent="0.55000000000000004">
      <c r="A156" t="s">
        <v>797</v>
      </c>
      <c r="B156" t="s">
        <v>760</v>
      </c>
    </row>
    <row r="157" spans="1:2" x14ac:dyDescent="0.55000000000000004">
      <c r="A157" t="s">
        <v>799</v>
      </c>
      <c r="B157" t="s">
        <v>760</v>
      </c>
    </row>
    <row r="158" spans="1:2" x14ac:dyDescent="0.55000000000000004">
      <c r="A158" t="s">
        <v>802</v>
      </c>
      <c r="B158" t="s">
        <v>760</v>
      </c>
    </row>
    <row r="159" spans="1:2" x14ac:dyDescent="0.55000000000000004">
      <c r="A159" t="s">
        <v>803</v>
      </c>
      <c r="B159" t="s">
        <v>760</v>
      </c>
    </row>
    <row r="160" spans="1:2" x14ac:dyDescent="0.55000000000000004">
      <c r="A160" t="s">
        <v>807</v>
      </c>
      <c r="B160" t="s">
        <v>760</v>
      </c>
    </row>
    <row r="161" spans="1:2" x14ac:dyDescent="0.55000000000000004">
      <c r="A161" t="s">
        <v>812</v>
      </c>
      <c r="B161" t="s">
        <v>760</v>
      </c>
    </row>
    <row r="162" spans="1:2" x14ac:dyDescent="0.55000000000000004">
      <c r="A162" t="s">
        <v>109</v>
      </c>
      <c r="B162" t="s">
        <v>760</v>
      </c>
    </row>
    <row r="163" spans="1:2" x14ac:dyDescent="0.55000000000000004">
      <c r="A163" t="s">
        <v>819</v>
      </c>
      <c r="B163" t="s">
        <v>760</v>
      </c>
    </row>
    <row r="164" spans="1:2" x14ac:dyDescent="0.55000000000000004">
      <c r="A164" t="s">
        <v>824</v>
      </c>
      <c r="B164" t="s">
        <v>760</v>
      </c>
    </row>
    <row r="165" spans="1:2" x14ac:dyDescent="0.55000000000000004">
      <c r="A165" t="s">
        <v>826</v>
      </c>
      <c r="B165" t="s">
        <v>760</v>
      </c>
    </row>
    <row r="166" spans="1:2" x14ac:dyDescent="0.55000000000000004">
      <c r="A166" t="s">
        <v>536</v>
      </c>
      <c r="B166" t="s">
        <v>536</v>
      </c>
    </row>
    <row r="167" spans="1:2" x14ac:dyDescent="0.55000000000000004">
      <c r="A167" t="s">
        <v>234</v>
      </c>
      <c r="B167" t="s">
        <v>486</v>
      </c>
    </row>
    <row r="168" spans="1:2" x14ac:dyDescent="0.55000000000000004">
      <c r="A168" t="s">
        <v>514</v>
      </c>
      <c r="B168" t="s">
        <v>486</v>
      </c>
    </row>
    <row r="169" spans="1:2" x14ac:dyDescent="0.55000000000000004">
      <c r="A169" t="s">
        <v>486</v>
      </c>
      <c r="B169" t="s">
        <v>486</v>
      </c>
    </row>
    <row r="170" spans="1:2" x14ac:dyDescent="0.55000000000000004">
      <c r="A170" t="s">
        <v>396</v>
      </c>
      <c r="B170" t="s">
        <v>486</v>
      </c>
    </row>
    <row r="171" spans="1:2" x14ac:dyDescent="0.55000000000000004">
      <c r="A171" t="s">
        <v>122</v>
      </c>
      <c r="B171" t="s">
        <v>486</v>
      </c>
    </row>
    <row r="172" spans="1:2" x14ac:dyDescent="0.55000000000000004">
      <c r="A172" t="s">
        <v>292</v>
      </c>
      <c r="B172" t="s">
        <v>486</v>
      </c>
    </row>
    <row r="173" spans="1:2" x14ac:dyDescent="0.55000000000000004">
      <c r="A173" t="s">
        <v>276</v>
      </c>
      <c r="B173" t="s">
        <v>486</v>
      </c>
    </row>
    <row r="174" spans="1:2" x14ac:dyDescent="0.55000000000000004">
      <c r="A174" t="s">
        <v>500</v>
      </c>
      <c r="B174" t="s">
        <v>486</v>
      </c>
    </row>
    <row r="175" spans="1:2" x14ac:dyDescent="0.55000000000000004">
      <c r="A175" t="s">
        <v>297</v>
      </c>
      <c r="B175" t="s">
        <v>486</v>
      </c>
    </row>
    <row r="176" spans="1:2" x14ac:dyDescent="0.55000000000000004">
      <c r="A176" t="s">
        <v>156</v>
      </c>
      <c r="B176" t="s">
        <v>486</v>
      </c>
    </row>
    <row r="177" spans="1:2" x14ac:dyDescent="0.55000000000000004">
      <c r="A177" t="s">
        <v>97</v>
      </c>
      <c r="B177" t="s">
        <v>486</v>
      </c>
    </row>
    <row r="178" spans="1:2" x14ac:dyDescent="0.55000000000000004">
      <c r="A178" t="s">
        <v>502</v>
      </c>
      <c r="B178" t="s">
        <v>486</v>
      </c>
    </row>
    <row r="179" spans="1:2" x14ac:dyDescent="0.55000000000000004">
      <c r="A179" t="s">
        <v>146</v>
      </c>
      <c r="B179" t="s">
        <v>486</v>
      </c>
    </row>
    <row r="180" spans="1:2" x14ac:dyDescent="0.55000000000000004">
      <c r="A180" t="s">
        <v>83</v>
      </c>
      <c r="B180" t="s">
        <v>486</v>
      </c>
    </row>
    <row r="181" spans="1:2" x14ac:dyDescent="0.55000000000000004">
      <c r="A181" t="s">
        <v>38</v>
      </c>
      <c r="B181" t="s">
        <v>486</v>
      </c>
    </row>
    <row r="182" spans="1:2" x14ac:dyDescent="0.55000000000000004">
      <c r="A182" t="s">
        <v>189</v>
      </c>
      <c r="B182" t="s">
        <v>486</v>
      </c>
    </row>
    <row r="183" spans="1:2" x14ac:dyDescent="0.55000000000000004">
      <c r="A183" t="s">
        <v>333</v>
      </c>
      <c r="B183" t="s">
        <v>486</v>
      </c>
    </row>
    <row r="184" spans="1:2" x14ac:dyDescent="0.55000000000000004">
      <c r="A184" t="s">
        <v>188</v>
      </c>
      <c r="B184" t="s">
        <v>486</v>
      </c>
    </row>
    <row r="185" spans="1:2" x14ac:dyDescent="0.55000000000000004">
      <c r="A185" t="s">
        <v>489</v>
      </c>
      <c r="B185" t="s">
        <v>486</v>
      </c>
    </row>
    <row r="186" spans="1:2" x14ac:dyDescent="0.55000000000000004">
      <c r="A186" t="s">
        <v>203</v>
      </c>
      <c r="B186" t="s">
        <v>486</v>
      </c>
    </row>
    <row r="187" spans="1:2" x14ac:dyDescent="0.55000000000000004">
      <c r="A187" t="s">
        <v>306</v>
      </c>
      <c r="B187" t="s">
        <v>486</v>
      </c>
    </row>
    <row r="188" spans="1:2" x14ac:dyDescent="0.55000000000000004">
      <c r="A188" t="s">
        <v>783</v>
      </c>
      <c r="B188" t="s">
        <v>486</v>
      </c>
    </row>
    <row r="189" spans="1:2" x14ac:dyDescent="0.55000000000000004">
      <c r="A189" t="s">
        <v>792</v>
      </c>
      <c r="B189" t="s">
        <v>486</v>
      </c>
    </row>
    <row r="190" spans="1:2" x14ac:dyDescent="0.55000000000000004">
      <c r="A190" t="s">
        <v>804</v>
      </c>
      <c r="B190" t="s">
        <v>486</v>
      </c>
    </row>
    <row r="191" spans="1:2" x14ac:dyDescent="0.55000000000000004">
      <c r="A191" t="s">
        <v>808</v>
      </c>
      <c r="B191" t="s">
        <v>486</v>
      </c>
    </row>
    <row r="192" spans="1:2" x14ac:dyDescent="0.55000000000000004">
      <c r="A192" t="s">
        <v>815</v>
      </c>
      <c r="B192" t="s">
        <v>486</v>
      </c>
    </row>
    <row r="193" spans="1:2" x14ac:dyDescent="0.55000000000000004">
      <c r="A193" t="s">
        <v>538</v>
      </c>
      <c r="B193" t="s">
        <v>538</v>
      </c>
    </row>
    <row r="194" spans="1:2" x14ac:dyDescent="0.55000000000000004">
      <c r="A194" t="s">
        <v>28</v>
      </c>
      <c r="B194" t="s">
        <v>538</v>
      </c>
    </row>
    <row r="195" spans="1:2" x14ac:dyDescent="0.55000000000000004">
      <c r="A195" t="s">
        <v>13</v>
      </c>
      <c r="B195" t="s">
        <v>13</v>
      </c>
    </row>
    <row r="196" spans="1:2" x14ac:dyDescent="0.55000000000000004">
      <c r="A196" t="s">
        <v>541</v>
      </c>
      <c r="B196" t="s">
        <v>762</v>
      </c>
    </row>
    <row r="197" spans="1:2" x14ac:dyDescent="0.55000000000000004">
      <c r="A197" t="s">
        <v>177</v>
      </c>
      <c r="B197" t="s">
        <v>762</v>
      </c>
    </row>
    <row r="198" spans="1:2" x14ac:dyDescent="0.55000000000000004">
      <c r="A198" t="s">
        <v>272</v>
      </c>
      <c r="B198" t="s">
        <v>762</v>
      </c>
    </row>
    <row r="199" spans="1:2" x14ac:dyDescent="0.55000000000000004">
      <c r="A199" t="s">
        <v>22</v>
      </c>
      <c r="B199" t="s">
        <v>762</v>
      </c>
    </row>
    <row r="200" spans="1:2" x14ac:dyDescent="0.55000000000000004">
      <c r="A200" t="s">
        <v>470</v>
      </c>
      <c r="B200" t="s">
        <v>762</v>
      </c>
    </row>
    <row r="201" spans="1:2" x14ac:dyDescent="0.55000000000000004">
      <c r="A201" t="s">
        <v>349</v>
      </c>
      <c r="B201" t="s">
        <v>762</v>
      </c>
    </row>
    <row r="202" spans="1:2" x14ac:dyDescent="0.55000000000000004">
      <c r="A202" t="s">
        <v>223</v>
      </c>
      <c r="B202" t="s">
        <v>762</v>
      </c>
    </row>
    <row r="203" spans="1:2" x14ac:dyDescent="0.55000000000000004">
      <c r="A203" t="s">
        <v>65</v>
      </c>
      <c r="B203" t="s">
        <v>762</v>
      </c>
    </row>
    <row r="204" spans="1:2" x14ac:dyDescent="0.55000000000000004">
      <c r="A204" t="s">
        <v>415</v>
      </c>
      <c r="B204" t="s">
        <v>762</v>
      </c>
    </row>
    <row r="205" spans="1:2" x14ac:dyDescent="0.55000000000000004">
      <c r="A205" t="s">
        <v>530</v>
      </c>
      <c r="B205" t="s">
        <v>762</v>
      </c>
    </row>
    <row r="206" spans="1:2" x14ac:dyDescent="0.55000000000000004">
      <c r="A206" t="s">
        <v>90</v>
      </c>
      <c r="B206" t="s">
        <v>762</v>
      </c>
    </row>
    <row r="207" spans="1:2" x14ac:dyDescent="0.55000000000000004">
      <c r="A207" t="s">
        <v>512</v>
      </c>
      <c r="B207" t="s">
        <v>762</v>
      </c>
    </row>
    <row r="208" spans="1:2" x14ac:dyDescent="0.55000000000000004">
      <c r="A208" t="s">
        <v>252</v>
      </c>
      <c r="B208" t="s">
        <v>762</v>
      </c>
    </row>
    <row r="209" spans="1:2" x14ac:dyDescent="0.55000000000000004">
      <c r="A209" t="s">
        <v>71</v>
      </c>
      <c r="B209" t="s">
        <v>762</v>
      </c>
    </row>
    <row r="210" spans="1:2" x14ac:dyDescent="0.55000000000000004">
      <c r="A210" t="s">
        <v>217</v>
      </c>
      <c r="B210" t="s">
        <v>762</v>
      </c>
    </row>
    <row r="211" spans="1:2" x14ac:dyDescent="0.55000000000000004">
      <c r="A211" t="s">
        <v>23</v>
      </c>
      <c r="B211" t="s">
        <v>762</v>
      </c>
    </row>
    <row r="212" spans="1:2" x14ac:dyDescent="0.55000000000000004">
      <c r="A212" t="s">
        <v>387</v>
      </c>
      <c r="B212" t="s">
        <v>762</v>
      </c>
    </row>
    <row r="213" spans="1:2" x14ac:dyDescent="0.55000000000000004">
      <c r="A213" t="s">
        <v>167</v>
      </c>
      <c r="B213" t="s">
        <v>762</v>
      </c>
    </row>
    <row r="214" spans="1:2" x14ac:dyDescent="0.55000000000000004">
      <c r="A214" t="s">
        <v>421</v>
      </c>
      <c r="B214" t="s">
        <v>762</v>
      </c>
    </row>
    <row r="215" spans="1:2" x14ac:dyDescent="0.55000000000000004">
      <c r="A215" t="s">
        <v>300</v>
      </c>
      <c r="B215" t="s">
        <v>762</v>
      </c>
    </row>
    <row r="216" spans="1:2" x14ac:dyDescent="0.55000000000000004">
      <c r="A216" t="s">
        <v>288</v>
      </c>
      <c r="B216" t="s">
        <v>762</v>
      </c>
    </row>
    <row r="217" spans="1:2" x14ac:dyDescent="0.55000000000000004">
      <c r="A217" t="s">
        <v>107</v>
      </c>
      <c r="B217" t="s">
        <v>762</v>
      </c>
    </row>
    <row r="218" spans="1:2" x14ac:dyDescent="0.55000000000000004">
      <c r="A218" t="s">
        <v>523</v>
      </c>
      <c r="B218" t="s">
        <v>762</v>
      </c>
    </row>
    <row r="219" spans="1:2" x14ac:dyDescent="0.55000000000000004">
      <c r="A219" t="s">
        <v>507</v>
      </c>
      <c r="B219" t="s">
        <v>762</v>
      </c>
    </row>
    <row r="220" spans="1:2" x14ac:dyDescent="0.55000000000000004">
      <c r="A220" t="s">
        <v>254</v>
      </c>
      <c r="B220" t="s">
        <v>762</v>
      </c>
    </row>
    <row r="221" spans="1:2" x14ac:dyDescent="0.55000000000000004">
      <c r="A221" t="s">
        <v>282</v>
      </c>
      <c r="B221" t="s">
        <v>762</v>
      </c>
    </row>
    <row r="222" spans="1:2" x14ac:dyDescent="0.55000000000000004">
      <c r="A222" t="s">
        <v>162</v>
      </c>
      <c r="B222" t="s">
        <v>762</v>
      </c>
    </row>
    <row r="223" spans="1:2" x14ac:dyDescent="0.55000000000000004">
      <c r="A223" t="s">
        <v>81</v>
      </c>
      <c r="B223" t="s">
        <v>762</v>
      </c>
    </row>
    <row r="224" spans="1:2" x14ac:dyDescent="0.55000000000000004">
      <c r="A224" t="s">
        <v>459</v>
      </c>
      <c r="B224" t="s">
        <v>762</v>
      </c>
    </row>
    <row r="225" spans="1:2" x14ac:dyDescent="0.55000000000000004">
      <c r="A225" t="s">
        <v>121</v>
      </c>
      <c r="B225" t="s">
        <v>762</v>
      </c>
    </row>
    <row r="226" spans="1:2" x14ac:dyDescent="0.55000000000000004">
      <c r="A226" t="s">
        <v>385</v>
      </c>
      <c r="B226" t="s">
        <v>762</v>
      </c>
    </row>
    <row r="227" spans="1:2" x14ac:dyDescent="0.55000000000000004">
      <c r="A227" t="s">
        <v>279</v>
      </c>
      <c r="B227" t="s">
        <v>762</v>
      </c>
    </row>
    <row r="228" spans="1:2" x14ac:dyDescent="0.55000000000000004">
      <c r="A228" t="s">
        <v>334</v>
      </c>
      <c r="B228" t="s">
        <v>762</v>
      </c>
    </row>
    <row r="229" spans="1:2" x14ac:dyDescent="0.55000000000000004">
      <c r="A229" t="s">
        <v>329</v>
      </c>
      <c r="B229" t="s">
        <v>762</v>
      </c>
    </row>
    <row r="230" spans="1:2" x14ac:dyDescent="0.55000000000000004">
      <c r="A230" t="s">
        <v>485</v>
      </c>
      <c r="B230" t="s">
        <v>762</v>
      </c>
    </row>
    <row r="231" spans="1:2" x14ac:dyDescent="0.55000000000000004">
      <c r="A231" t="s">
        <v>72</v>
      </c>
      <c r="B231" t="s">
        <v>762</v>
      </c>
    </row>
    <row r="232" spans="1:2" x14ac:dyDescent="0.55000000000000004">
      <c r="A232" t="s">
        <v>151</v>
      </c>
      <c r="B232" t="s">
        <v>762</v>
      </c>
    </row>
    <row r="233" spans="1:2" x14ac:dyDescent="0.55000000000000004">
      <c r="A233" t="s">
        <v>447</v>
      </c>
      <c r="B233" t="s">
        <v>762</v>
      </c>
    </row>
    <row r="234" spans="1:2" x14ac:dyDescent="0.55000000000000004">
      <c r="A234" t="s">
        <v>519</v>
      </c>
      <c r="B234" t="s">
        <v>762</v>
      </c>
    </row>
    <row r="235" spans="1:2" x14ac:dyDescent="0.55000000000000004">
      <c r="A235" t="s">
        <v>50</v>
      </c>
      <c r="B235" t="s">
        <v>762</v>
      </c>
    </row>
    <row r="236" spans="1:2" x14ac:dyDescent="0.55000000000000004">
      <c r="A236" t="s">
        <v>382</v>
      </c>
      <c r="B236" t="s">
        <v>762</v>
      </c>
    </row>
    <row r="237" spans="1:2" x14ac:dyDescent="0.55000000000000004">
      <c r="A237" t="s">
        <v>56</v>
      </c>
      <c r="B237" t="s">
        <v>762</v>
      </c>
    </row>
    <row r="238" spans="1:2" x14ac:dyDescent="0.55000000000000004">
      <c r="A238" t="s">
        <v>785</v>
      </c>
      <c r="B238" t="s">
        <v>762</v>
      </c>
    </row>
    <row r="239" spans="1:2" x14ac:dyDescent="0.55000000000000004">
      <c r="A239" t="s">
        <v>786</v>
      </c>
      <c r="B239" t="s">
        <v>762</v>
      </c>
    </row>
    <row r="240" spans="1:2" x14ac:dyDescent="0.55000000000000004">
      <c r="A240" t="s">
        <v>796</v>
      </c>
      <c r="B240" t="s">
        <v>762</v>
      </c>
    </row>
    <row r="241" spans="1:2" x14ac:dyDescent="0.55000000000000004">
      <c r="A241" t="s">
        <v>818</v>
      </c>
      <c r="B241" t="s">
        <v>762</v>
      </c>
    </row>
    <row r="242" spans="1:2" x14ac:dyDescent="0.55000000000000004">
      <c r="A242" t="s">
        <v>109</v>
      </c>
      <c r="B242" t="s">
        <v>762</v>
      </c>
    </row>
    <row r="243" spans="1:2" x14ac:dyDescent="0.55000000000000004">
      <c r="A243" t="s">
        <v>825</v>
      </c>
      <c r="B243" t="s">
        <v>762</v>
      </c>
    </row>
    <row r="244" spans="1:2" x14ac:dyDescent="0.55000000000000004">
      <c r="A244" t="s">
        <v>351</v>
      </c>
      <c r="B244" t="s">
        <v>764</v>
      </c>
    </row>
    <row r="245" spans="1:2" x14ac:dyDescent="0.55000000000000004">
      <c r="A245" t="s">
        <v>522</v>
      </c>
      <c r="B245" t="s">
        <v>764</v>
      </c>
    </row>
    <row r="246" spans="1:2" x14ac:dyDescent="0.55000000000000004">
      <c r="A246" t="s">
        <v>499</v>
      </c>
      <c r="B246" t="s">
        <v>764</v>
      </c>
    </row>
    <row r="247" spans="1:2" x14ac:dyDescent="0.55000000000000004">
      <c r="A247" t="s">
        <v>32</v>
      </c>
      <c r="B247" t="s">
        <v>764</v>
      </c>
    </row>
    <row r="248" spans="1:2" x14ac:dyDescent="0.55000000000000004">
      <c r="A248" t="s">
        <v>15</v>
      </c>
      <c r="B248" t="s">
        <v>764</v>
      </c>
    </row>
    <row r="249" spans="1:2" x14ac:dyDescent="0.55000000000000004">
      <c r="A249" t="s">
        <v>260</v>
      </c>
      <c r="B249" t="s">
        <v>764</v>
      </c>
    </row>
    <row r="250" spans="1:2" x14ac:dyDescent="0.55000000000000004">
      <c r="A250" t="s">
        <v>103</v>
      </c>
      <c r="B250" t="s">
        <v>764</v>
      </c>
    </row>
    <row r="251" spans="1:2" x14ac:dyDescent="0.55000000000000004">
      <c r="A251" t="s">
        <v>483</v>
      </c>
      <c r="B251" t="s">
        <v>764</v>
      </c>
    </row>
    <row r="252" spans="1:2" x14ac:dyDescent="0.55000000000000004">
      <c r="A252" t="s">
        <v>213</v>
      </c>
      <c r="B252" t="s">
        <v>764</v>
      </c>
    </row>
    <row r="253" spans="1:2" x14ac:dyDescent="0.55000000000000004">
      <c r="A253" t="s">
        <v>400</v>
      </c>
      <c r="B253" t="s">
        <v>764</v>
      </c>
    </row>
    <row r="254" spans="1:2" x14ac:dyDescent="0.55000000000000004">
      <c r="A254" t="s">
        <v>31</v>
      </c>
      <c r="B254" t="s">
        <v>764</v>
      </c>
    </row>
    <row r="255" spans="1:2" x14ac:dyDescent="0.55000000000000004">
      <c r="A255" t="s">
        <v>170</v>
      </c>
      <c r="B255" t="s">
        <v>764</v>
      </c>
    </row>
    <row r="256" spans="1:2" x14ac:dyDescent="0.55000000000000004">
      <c r="A256" t="s">
        <v>36</v>
      </c>
      <c r="B256" t="s">
        <v>764</v>
      </c>
    </row>
    <row r="257" spans="1:2" x14ac:dyDescent="0.55000000000000004">
      <c r="A257" t="s">
        <v>221</v>
      </c>
      <c r="B257" t="s">
        <v>764</v>
      </c>
    </row>
    <row r="258" spans="1:2" x14ac:dyDescent="0.55000000000000004">
      <c r="A258" t="s">
        <v>116</v>
      </c>
      <c r="B258" t="s">
        <v>764</v>
      </c>
    </row>
    <row r="259" spans="1:2" x14ac:dyDescent="0.55000000000000004">
      <c r="A259" t="s">
        <v>100</v>
      </c>
      <c r="B259" t="s">
        <v>764</v>
      </c>
    </row>
    <row r="260" spans="1:2" x14ac:dyDescent="0.55000000000000004">
      <c r="A260" t="s">
        <v>70</v>
      </c>
      <c r="B260" t="s">
        <v>764</v>
      </c>
    </row>
    <row r="261" spans="1:2" x14ac:dyDescent="0.55000000000000004">
      <c r="A261" t="s">
        <v>205</v>
      </c>
      <c r="B261" t="s">
        <v>764</v>
      </c>
    </row>
    <row r="262" spans="1:2" x14ac:dyDescent="0.55000000000000004">
      <c r="A262" t="s">
        <v>267</v>
      </c>
      <c r="B262" t="s">
        <v>764</v>
      </c>
    </row>
    <row r="263" spans="1:2" x14ac:dyDescent="0.55000000000000004">
      <c r="A263" t="s">
        <v>511</v>
      </c>
      <c r="B263" t="s">
        <v>764</v>
      </c>
    </row>
    <row r="264" spans="1:2" x14ac:dyDescent="0.55000000000000004">
      <c r="A264" t="s">
        <v>377</v>
      </c>
      <c r="B264" t="s">
        <v>764</v>
      </c>
    </row>
    <row r="265" spans="1:2" x14ac:dyDescent="0.55000000000000004">
      <c r="A265" t="s">
        <v>115</v>
      </c>
      <c r="B265" t="s">
        <v>764</v>
      </c>
    </row>
    <row r="266" spans="1:2" x14ac:dyDescent="0.55000000000000004">
      <c r="A266" t="s">
        <v>467</v>
      </c>
      <c r="B266" t="s">
        <v>764</v>
      </c>
    </row>
    <row r="267" spans="1:2" x14ac:dyDescent="0.55000000000000004">
      <c r="A267" t="s">
        <v>174</v>
      </c>
      <c r="B267" t="s">
        <v>764</v>
      </c>
    </row>
    <row r="268" spans="1:2" x14ac:dyDescent="0.55000000000000004">
      <c r="A268" t="s">
        <v>186</v>
      </c>
      <c r="B268" t="s">
        <v>764</v>
      </c>
    </row>
    <row r="269" spans="1:2" x14ac:dyDescent="0.55000000000000004">
      <c r="A269" t="s">
        <v>98</v>
      </c>
      <c r="B269" t="s">
        <v>764</v>
      </c>
    </row>
    <row r="270" spans="1:2" x14ac:dyDescent="0.55000000000000004">
      <c r="A270" t="s">
        <v>405</v>
      </c>
      <c r="B270" t="s">
        <v>764</v>
      </c>
    </row>
    <row r="271" spans="1:2" x14ac:dyDescent="0.55000000000000004">
      <c r="A271" t="s">
        <v>253</v>
      </c>
      <c r="B271" t="s">
        <v>764</v>
      </c>
    </row>
    <row r="272" spans="1:2" x14ac:dyDescent="0.55000000000000004">
      <c r="A272" t="s">
        <v>509</v>
      </c>
      <c r="B272" t="s">
        <v>764</v>
      </c>
    </row>
    <row r="273" spans="1:2" x14ac:dyDescent="0.55000000000000004">
      <c r="A273" t="s">
        <v>548</v>
      </c>
      <c r="B273" t="s">
        <v>764</v>
      </c>
    </row>
    <row r="274" spans="1:2" x14ac:dyDescent="0.55000000000000004">
      <c r="A274" t="s">
        <v>139</v>
      </c>
      <c r="B274" t="s">
        <v>764</v>
      </c>
    </row>
    <row r="275" spans="1:2" x14ac:dyDescent="0.55000000000000004">
      <c r="A275" t="s">
        <v>212</v>
      </c>
      <c r="B275" t="s">
        <v>764</v>
      </c>
    </row>
    <row r="276" spans="1:2" x14ac:dyDescent="0.55000000000000004">
      <c r="A276" t="s">
        <v>309</v>
      </c>
      <c r="B276" t="s">
        <v>764</v>
      </c>
    </row>
    <row r="277" spans="1:2" x14ac:dyDescent="0.55000000000000004">
      <c r="A277" t="s">
        <v>472</v>
      </c>
      <c r="B277" t="s">
        <v>764</v>
      </c>
    </row>
    <row r="278" spans="1:2" x14ac:dyDescent="0.55000000000000004">
      <c r="A278" t="s">
        <v>353</v>
      </c>
      <c r="B278" t="s">
        <v>764</v>
      </c>
    </row>
    <row r="279" spans="1:2" x14ac:dyDescent="0.55000000000000004">
      <c r="A279" t="s">
        <v>494</v>
      </c>
      <c r="B279" t="s">
        <v>764</v>
      </c>
    </row>
    <row r="280" spans="1:2" x14ac:dyDescent="0.55000000000000004">
      <c r="A280" t="s">
        <v>376</v>
      </c>
      <c r="B280" t="s">
        <v>764</v>
      </c>
    </row>
    <row r="281" spans="1:2" x14ac:dyDescent="0.55000000000000004">
      <c r="A281" t="s">
        <v>216</v>
      </c>
      <c r="B281" t="s">
        <v>764</v>
      </c>
    </row>
    <row r="282" spans="1:2" x14ac:dyDescent="0.55000000000000004">
      <c r="A282" t="s">
        <v>127</v>
      </c>
      <c r="B282" t="s">
        <v>764</v>
      </c>
    </row>
    <row r="283" spans="1:2" x14ac:dyDescent="0.55000000000000004">
      <c r="A283" t="s">
        <v>181</v>
      </c>
      <c r="B283" t="s">
        <v>764</v>
      </c>
    </row>
    <row r="284" spans="1:2" x14ac:dyDescent="0.55000000000000004">
      <c r="A284" t="s">
        <v>352</v>
      </c>
      <c r="B284" t="s">
        <v>764</v>
      </c>
    </row>
    <row r="285" spans="1:2" x14ac:dyDescent="0.55000000000000004">
      <c r="A285" t="s">
        <v>503</v>
      </c>
      <c r="B285" t="s">
        <v>764</v>
      </c>
    </row>
    <row r="286" spans="1:2" x14ac:dyDescent="0.55000000000000004">
      <c r="A286" t="s">
        <v>516</v>
      </c>
      <c r="B286" t="s">
        <v>764</v>
      </c>
    </row>
    <row r="287" spans="1:2" x14ac:dyDescent="0.55000000000000004">
      <c r="A287" t="s">
        <v>464</v>
      </c>
      <c r="B287" t="s">
        <v>764</v>
      </c>
    </row>
    <row r="288" spans="1:2" x14ac:dyDescent="0.55000000000000004">
      <c r="A288" t="s">
        <v>291</v>
      </c>
      <c r="B288" t="s">
        <v>764</v>
      </c>
    </row>
    <row r="289" spans="1:2" x14ac:dyDescent="0.55000000000000004">
      <c r="A289" t="s">
        <v>155</v>
      </c>
      <c r="B289" t="s">
        <v>764</v>
      </c>
    </row>
    <row r="290" spans="1:2" x14ac:dyDescent="0.55000000000000004">
      <c r="A290" t="s">
        <v>19</v>
      </c>
      <c r="B290" t="s">
        <v>764</v>
      </c>
    </row>
    <row r="291" spans="1:2" x14ac:dyDescent="0.55000000000000004">
      <c r="A291" t="s">
        <v>176</v>
      </c>
      <c r="B291" t="s">
        <v>764</v>
      </c>
    </row>
    <row r="292" spans="1:2" x14ac:dyDescent="0.55000000000000004">
      <c r="A292" t="s">
        <v>54</v>
      </c>
      <c r="B292" t="s">
        <v>764</v>
      </c>
    </row>
    <row r="293" spans="1:2" x14ac:dyDescent="0.55000000000000004">
      <c r="A293" t="s">
        <v>331</v>
      </c>
      <c r="B293" t="s">
        <v>764</v>
      </c>
    </row>
    <row r="294" spans="1:2" x14ac:dyDescent="0.55000000000000004">
      <c r="A294" t="s">
        <v>553</v>
      </c>
      <c r="B294" t="s">
        <v>764</v>
      </c>
    </row>
    <row r="295" spans="1:2" x14ac:dyDescent="0.55000000000000004">
      <c r="A295" t="s">
        <v>192</v>
      </c>
      <c r="B295" t="s">
        <v>764</v>
      </c>
    </row>
    <row r="296" spans="1:2" x14ac:dyDescent="0.55000000000000004">
      <c r="A296" t="s">
        <v>199</v>
      </c>
      <c r="B296" t="s">
        <v>764</v>
      </c>
    </row>
    <row r="297" spans="1:2" x14ac:dyDescent="0.55000000000000004">
      <c r="A297" t="s">
        <v>235</v>
      </c>
      <c r="B297" t="s">
        <v>764</v>
      </c>
    </row>
    <row r="298" spans="1:2" x14ac:dyDescent="0.55000000000000004">
      <c r="A298" t="s">
        <v>40</v>
      </c>
      <c r="B298" t="s">
        <v>764</v>
      </c>
    </row>
    <row r="299" spans="1:2" x14ac:dyDescent="0.55000000000000004">
      <c r="A299" t="s">
        <v>303</v>
      </c>
      <c r="B299" t="s">
        <v>764</v>
      </c>
    </row>
    <row r="300" spans="1:2" x14ac:dyDescent="0.55000000000000004">
      <c r="A300" t="s">
        <v>422</v>
      </c>
      <c r="B300" t="s">
        <v>764</v>
      </c>
    </row>
    <row r="301" spans="1:2" x14ac:dyDescent="0.55000000000000004">
      <c r="A301" t="s">
        <v>450</v>
      </c>
      <c r="B301" t="s">
        <v>764</v>
      </c>
    </row>
    <row r="302" spans="1:2" x14ac:dyDescent="0.55000000000000004">
      <c r="A302" t="s">
        <v>773</v>
      </c>
      <c r="B302" t="s">
        <v>764</v>
      </c>
    </row>
    <row r="303" spans="1:2" x14ac:dyDescent="0.55000000000000004">
      <c r="A303" t="s">
        <v>779</v>
      </c>
      <c r="B303" t="s">
        <v>764</v>
      </c>
    </row>
    <row r="304" spans="1:2" x14ac:dyDescent="0.55000000000000004">
      <c r="A304" t="s">
        <v>782</v>
      </c>
      <c r="B304" t="s">
        <v>764</v>
      </c>
    </row>
    <row r="305" spans="1:2" x14ac:dyDescent="0.55000000000000004">
      <c r="A305" t="s">
        <v>793</v>
      </c>
      <c r="B305" t="s">
        <v>764</v>
      </c>
    </row>
    <row r="306" spans="1:2" x14ac:dyDescent="0.55000000000000004">
      <c r="A306" t="s">
        <v>801</v>
      </c>
      <c r="B306" t="s">
        <v>764</v>
      </c>
    </row>
    <row r="307" spans="1:2" x14ac:dyDescent="0.55000000000000004">
      <c r="A307" t="s">
        <v>820</v>
      </c>
      <c r="B307" t="s">
        <v>764</v>
      </c>
    </row>
    <row r="308" spans="1:2" x14ac:dyDescent="0.55000000000000004">
      <c r="A308" t="s">
        <v>821</v>
      </c>
      <c r="B308" t="s">
        <v>764</v>
      </c>
    </row>
    <row r="309" spans="1:2" x14ac:dyDescent="0.55000000000000004">
      <c r="A309" t="s">
        <v>823</v>
      </c>
      <c r="B309" t="s">
        <v>764</v>
      </c>
    </row>
    <row r="310" spans="1:2" x14ac:dyDescent="0.55000000000000004">
      <c r="A310" t="s">
        <v>118</v>
      </c>
      <c r="B310" t="s">
        <v>766</v>
      </c>
    </row>
    <row r="311" spans="1:2" x14ac:dyDescent="0.55000000000000004">
      <c r="A311" t="s">
        <v>45</v>
      </c>
      <c r="B311" t="s">
        <v>766</v>
      </c>
    </row>
    <row r="312" spans="1:2" x14ac:dyDescent="0.55000000000000004">
      <c r="A312" t="s">
        <v>429</v>
      </c>
      <c r="B312" t="s">
        <v>766</v>
      </c>
    </row>
    <row r="313" spans="1:2" x14ac:dyDescent="0.55000000000000004">
      <c r="A313" t="s">
        <v>442</v>
      </c>
      <c r="B313" t="s">
        <v>766</v>
      </c>
    </row>
    <row r="314" spans="1:2" x14ac:dyDescent="0.55000000000000004">
      <c r="A314" t="s">
        <v>491</v>
      </c>
      <c r="B314" t="s">
        <v>766</v>
      </c>
    </row>
    <row r="315" spans="1:2" x14ac:dyDescent="0.55000000000000004">
      <c r="A315" t="s">
        <v>360</v>
      </c>
      <c r="B315" t="s">
        <v>766</v>
      </c>
    </row>
    <row r="316" spans="1:2" x14ac:dyDescent="0.55000000000000004">
      <c r="A316" t="s">
        <v>453</v>
      </c>
      <c r="B316" t="s">
        <v>766</v>
      </c>
    </row>
    <row r="317" spans="1:2" x14ac:dyDescent="0.55000000000000004">
      <c r="A317" t="s">
        <v>99</v>
      </c>
      <c r="B317" t="s">
        <v>766</v>
      </c>
    </row>
    <row r="318" spans="1:2" x14ac:dyDescent="0.55000000000000004">
      <c r="A318" t="s">
        <v>60</v>
      </c>
      <c r="B318" t="s">
        <v>761</v>
      </c>
    </row>
    <row r="319" spans="1:2" x14ac:dyDescent="0.55000000000000004">
      <c r="A319" t="s">
        <v>524</v>
      </c>
      <c r="B319" t="s">
        <v>761</v>
      </c>
    </row>
    <row r="320" spans="1:2" x14ac:dyDescent="0.55000000000000004">
      <c r="A320" t="s">
        <v>214</v>
      </c>
      <c r="B320" t="s">
        <v>761</v>
      </c>
    </row>
    <row r="321" spans="1:2" x14ac:dyDescent="0.55000000000000004">
      <c r="A321" t="s">
        <v>356</v>
      </c>
      <c r="B321" t="s">
        <v>761</v>
      </c>
    </row>
    <row r="322" spans="1:2" x14ac:dyDescent="0.55000000000000004">
      <c r="A322" t="s">
        <v>337</v>
      </c>
      <c r="B322" t="s">
        <v>761</v>
      </c>
    </row>
    <row r="323" spans="1:2" x14ac:dyDescent="0.55000000000000004">
      <c r="A323" t="s">
        <v>108</v>
      </c>
      <c r="B323" t="s">
        <v>761</v>
      </c>
    </row>
    <row r="324" spans="1:2" x14ac:dyDescent="0.55000000000000004">
      <c r="A324" t="s">
        <v>370</v>
      </c>
      <c r="B324" t="s">
        <v>761</v>
      </c>
    </row>
    <row r="325" spans="1:2" x14ac:dyDescent="0.55000000000000004">
      <c r="A325" t="s">
        <v>375</v>
      </c>
      <c r="B325" t="s">
        <v>761</v>
      </c>
    </row>
    <row r="326" spans="1:2" x14ac:dyDescent="0.55000000000000004">
      <c r="A326" t="s">
        <v>161</v>
      </c>
      <c r="B326" t="s">
        <v>761</v>
      </c>
    </row>
    <row r="327" spans="1:2" x14ac:dyDescent="0.55000000000000004">
      <c r="A327" t="s">
        <v>332</v>
      </c>
      <c r="B327" t="s">
        <v>761</v>
      </c>
    </row>
    <row r="328" spans="1:2" x14ac:dyDescent="0.55000000000000004">
      <c r="A328" t="s">
        <v>154</v>
      </c>
      <c r="B328" t="s">
        <v>761</v>
      </c>
    </row>
    <row r="329" spans="1:2" x14ac:dyDescent="0.55000000000000004">
      <c r="A329" t="s">
        <v>403</v>
      </c>
      <c r="B329" t="s">
        <v>761</v>
      </c>
    </row>
    <row r="330" spans="1:2" x14ac:dyDescent="0.55000000000000004">
      <c r="A330" t="s">
        <v>166</v>
      </c>
      <c r="B330" t="s">
        <v>761</v>
      </c>
    </row>
    <row r="331" spans="1:2" x14ac:dyDescent="0.55000000000000004">
      <c r="A331" t="s">
        <v>208</v>
      </c>
      <c r="B331" t="s">
        <v>761</v>
      </c>
    </row>
    <row r="332" spans="1:2" x14ac:dyDescent="0.55000000000000004">
      <c r="A332" t="s">
        <v>261</v>
      </c>
      <c r="B332" t="s">
        <v>761</v>
      </c>
    </row>
    <row r="333" spans="1:2" x14ac:dyDescent="0.55000000000000004">
      <c r="A333" t="s">
        <v>534</v>
      </c>
      <c r="B333" t="s">
        <v>761</v>
      </c>
    </row>
    <row r="334" spans="1:2" x14ac:dyDescent="0.55000000000000004">
      <c r="A334" t="s">
        <v>228</v>
      </c>
      <c r="B334" t="s">
        <v>761</v>
      </c>
    </row>
    <row r="335" spans="1:2" x14ac:dyDescent="0.55000000000000004">
      <c r="A335" t="s">
        <v>404</v>
      </c>
      <c r="B335" t="s">
        <v>761</v>
      </c>
    </row>
    <row r="336" spans="1:2" x14ac:dyDescent="0.55000000000000004">
      <c r="A336" t="s">
        <v>293</v>
      </c>
      <c r="B336" t="s">
        <v>761</v>
      </c>
    </row>
    <row r="337" spans="1:2" x14ac:dyDescent="0.55000000000000004">
      <c r="A337" t="s">
        <v>16</v>
      </c>
      <c r="B337" t="s">
        <v>761</v>
      </c>
    </row>
    <row r="338" spans="1:2" x14ac:dyDescent="0.55000000000000004">
      <c r="A338" t="s">
        <v>410</v>
      </c>
      <c r="B338" t="s">
        <v>761</v>
      </c>
    </row>
    <row r="339" spans="1:2" x14ac:dyDescent="0.55000000000000004">
      <c r="A339" t="s">
        <v>163</v>
      </c>
      <c r="B339" t="s">
        <v>761</v>
      </c>
    </row>
    <row r="340" spans="1:2" x14ac:dyDescent="0.55000000000000004">
      <c r="A340" t="s">
        <v>440</v>
      </c>
      <c r="B340" t="s">
        <v>761</v>
      </c>
    </row>
    <row r="341" spans="1:2" x14ac:dyDescent="0.55000000000000004">
      <c r="A341" t="s">
        <v>102</v>
      </c>
      <c r="B341" t="s">
        <v>761</v>
      </c>
    </row>
    <row r="342" spans="1:2" x14ac:dyDescent="0.55000000000000004">
      <c r="A342" t="s">
        <v>480</v>
      </c>
      <c r="B342" t="s">
        <v>761</v>
      </c>
    </row>
    <row r="343" spans="1:2" x14ac:dyDescent="0.55000000000000004">
      <c r="A343" t="s">
        <v>89</v>
      </c>
      <c r="B343" t="s">
        <v>761</v>
      </c>
    </row>
    <row r="344" spans="1:2" x14ac:dyDescent="0.55000000000000004">
      <c r="A344" t="s">
        <v>336</v>
      </c>
      <c r="B344" t="s">
        <v>761</v>
      </c>
    </row>
    <row r="345" spans="1:2" x14ac:dyDescent="0.55000000000000004">
      <c r="A345" t="s">
        <v>88</v>
      </c>
      <c r="B345" t="s">
        <v>761</v>
      </c>
    </row>
    <row r="346" spans="1:2" x14ac:dyDescent="0.55000000000000004">
      <c r="A346" t="s">
        <v>191</v>
      </c>
      <c r="B346" t="s">
        <v>761</v>
      </c>
    </row>
    <row r="347" spans="1:2" x14ac:dyDescent="0.55000000000000004">
      <c r="A347" t="s">
        <v>182</v>
      </c>
      <c r="B347" t="s">
        <v>761</v>
      </c>
    </row>
    <row r="348" spans="1:2" x14ac:dyDescent="0.55000000000000004">
      <c r="A348" t="s">
        <v>141</v>
      </c>
      <c r="B348" t="s">
        <v>761</v>
      </c>
    </row>
    <row r="349" spans="1:2" x14ac:dyDescent="0.55000000000000004">
      <c r="A349" t="s">
        <v>227</v>
      </c>
      <c r="B349" t="s">
        <v>761</v>
      </c>
    </row>
    <row r="350" spans="1:2" x14ac:dyDescent="0.55000000000000004">
      <c r="A350" t="s">
        <v>24</v>
      </c>
      <c r="B350" t="s">
        <v>761</v>
      </c>
    </row>
    <row r="351" spans="1:2" x14ac:dyDescent="0.55000000000000004">
      <c r="A351" t="s">
        <v>157</v>
      </c>
      <c r="B351" t="s">
        <v>761</v>
      </c>
    </row>
    <row r="352" spans="1:2" x14ac:dyDescent="0.55000000000000004">
      <c r="A352" t="s">
        <v>466</v>
      </c>
      <c r="B352" t="s">
        <v>761</v>
      </c>
    </row>
    <row r="353" spans="1:2" x14ac:dyDescent="0.55000000000000004">
      <c r="A353" t="s">
        <v>25</v>
      </c>
      <c r="B353" t="s">
        <v>761</v>
      </c>
    </row>
    <row r="354" spans="1:2" x14ac:dyDescent="0.55000000000000004">
      <c r="A354" t="s">
        <v>345</v>
      </c>
      <c r="B354" t="s">
        <v>761</v>
      </c>
    </row>
    <row r="355" spans="1:2" x14ac:dyDescent="0.55000000000000004">
      <c r="A355" t="s">
        <v>66</v>
      </c>
      <c r="B355" t="s">
        <v>761</v>
      </c>
    </row>
    <row r="356" spans="1:2" x14ac:dyDescent="0.55000000000000004">
      <c r="A356" t="s">
        <v>275</v>
      </c>
      <c r="B356" t="s">
        <v>761</v>
      </c>
    </row>
    <row r="357" spans="1:2" x14ac:dyDescent="0.55000000000000004">
      <c r="A357" t="s">
        <v>126</v>
      </c>
      <c r="B357" t="s">
        <v>761</v>
      </c>
    </row>
    <row r="358" spans="1:2" x14ac:dyDescent="0.55000000000000004">
      <c r="A358" t="s">
        <v>295</v>
      </c>
      <c r="B358" t="s">
        <v>761</v>
      </c>
    </row>
    <row r="359" spans="1:2" x14ac:dyDescent="0.55000000000000004">
      <c r="A359" t="s">
        <v>461</v>
      </c>
      <c r="B359" t="s">
        <v>761</v>
      </c>
    </row>
    <row r="360" spans="1:2" x14ac:dyDescent="0.55000000000000004">
      <c r="A360" t="s">
        <v>178</v>
      </c>
      <c r="B360" t="s">
        <v>761</v>
      </c>
    </row>
    <row r="361" spans="1:2" x14ac:dyDescent="0.55000000000000004">
      <c r="A361" t="s">
        <v>366</v>
      </c>
      <c r="B361" t="s">
        <v>761</v>
      </c>
    </row>
    <row r="362" spans="1:2" x14ac:dyDescent="0.55000000000000004">
      <c r="A362" t="s">
        <v>430</v>
      </c>
      <c r="B362" t="s">
        <v>761</v>
      </c>
    </row>
    <row r="363" spans="1:2" x14ac:dyDescent="0.55000000000000004">
      <c r="A363" t="s">
        <v>409</v>
      </c>
      <c r="B363" t="s">
        <v>761</v>
      </c>
    </row>
    <row r="364" spans="1:2" x14ac:dyDescent="0.55000000000000004">
      <c r="A364" t="s">
        <v>168</v>
      </c>
      <c r="B364" t="s">
        <v>761</v>
      </c>
    </row>
    <row r="365" spans="1:2" x14ac:dyDescent="0.55000000000000004">
      <c r="A365" t="s">
        <v>230</v>
      </c>
      <c r="B365" t="s">
        <v>761</v>
      </c>
    </row>
    <row r="366" spans="1:2" x14ac:dyDescent="0.55000000000000004">
      <c r="A366" t="s">
        <v>315</v>
      </c>
      <c r="B366" t="s">
        <v>761</v>
      </c>
    </row>
    <row r="367" spans="1:2" x14ac:dyDescent="0.55000000000000004">
      <c r="A367" t="s">
        <v>380</v>
      </c>
      <c r="B367" t="s">
        <v>761</v>
      </c>
    </row>
    <row r="368" spans="1:2" x14ac:dyDescent="0.55000000000000004">
      <c r="A368" t="s">
        <v>379</v>
      </c>
      <c r="B368" t="s">
        <v>761</v>
      </c>
    </row>
    <row r="369" spans="1:2" x14ac:dyDescent="0.55000000000000004">
      <c r="A369" t="s">
        <v>531</v>
      </c>
      <c r="B369" t="s">
        <v>761</v>
      </c>
    </row>
    <row r="370" spans="1:2" x14ac:dyDescent="0.55000000000000004">
      <c r="A370" t="s">
        <v>231</v>
      </c>
      <c r="B370" t="s">
        <v>761</v>
      </c>
    </row>
    <row r="371" spans="1:2" x14ac:dyDescent="0.55000000000000004">
      <c r="A371" t="s">
        <v>200</v>
      </c>
      <c r="B371" t="s">
        <v>761</v>
      </c>
    </row>
    <row r="372" spans="1:2" x14ac:dyDescent="0.55000000000000004">
      <c r="A372" t="s">
        <v>369</v>
      </c>
      <c r="B372" t="s">
        <v>761</v>
      </c>
    </row>
    <row r="373" spans="1:2" x14ac:dyDescent="0.55000000000000004">
      <c r="A373" t="s">
        <v>418</v>
      </c>
      <c r="B373" t="s">
        <v>761</v>
      </c>
    </row>
    <row r="374" spans="1:2" x14ac:dyDescent="0.55000000000000004">
      <c r="A374" t="s">
        <v>311</v>
      </c>
      <c r="B374" t="s">
        <v>761</v>
      </c>
    </row>
    <row r="375" spans="1:2" x14ac:dyDescent="0.55000000000000004">
      <c r="A375" t="s">
        <v>490</v>
      </c>
      <c r="B375" t="s">
        <v>761</v>
      </c>
    </row>
    <row r="376" spans="1:2" x14ac:dyDescent="0.55000000000000004">
      <c r="A376" t="s">
        <v>346</v>
      </c>
      <c r="B376" t="s">
        <v>761</v>
      </c>
    </row>
    <row r="377" spans="1:2" x14ac:dyDescent="0.55000000000000004">
      <c r="A377" t="s">
        <v>474</v>
      </c>
      <c r="B377" t="s">
        <v>761</v>
      </c>
    </row>
    <row r="378" spans="1:2" x14ac:dyDescent="0.55000000000000004">
      <c r="A378" t="s">
        <v>211</v>
      </c>
      <c r="B378" t="s">
        <v>761</v>
      </c>
    </row>
    <row r="379" spans="1:2" x14ac:dyDescent="0.55000000000000004">
      <c r="A379" t="s">
        <v>308</v>
      </c>
      <c r="B379" t="s">
        <v>761</v>
      </c>
    </row>
    <row r="380" spans="1:2" x14ac:dyDescent="0.55000000000000004">
      <c r="A380" t="s">
        <v>26</v>
      </c>
      <c r="B380" t="s">
        <v>761</v>
      </c>
    </row>
    <row r="381" spans="1:2" x14ac:dyDescent="0.55000000000000004">
      <c r="A381" t="s">
        <v>247</v>
      </c>
      <c r="B381" t="s">
        <v>761</v>
      </c>
    </row>
    <row r="382" spans="1:2" x14ac:dyDescent="0.55000000000000004">
      <c r="A382" t="s">
        <v>307</v>
      </c>
      <c r="B382" t="s">
        <v>761</v>
      </c>
    </row>
    <row r="383" spans="1:2" x14ac:dyDescent="0.55000000000000004">
      <c r="A383" t="s">
        <v>52</v>
      </c>
      <c r="B383" t="s">
        <v>761</v>
      </c>
    </row>
    <row r="384" spans="1:2" x14ac:dyDescent="0.55000000000000004">
      <c r="A384" t="s">
        <v>302</v>
      </c>
      <c r="B384" t="s">
        <v>761</v>
      </c>
    </row>
    <row r="385" spans="1:2" x14ac:dyDescent="0.55000000000000004">
      <c r="A385" t="s">
        <v>238</v>
      </c>
      <c r="B385" t="s">
        <v>761</v>
      </c>
    </row>
    <row r="386" spans="1:2" x14ac:dyDescent="0.55000000000000004">
      <c r="A386" t="s">
        <v>74</v>
      </c>
      <c r="B386" t="s">
        <v>761</v>
      </c>
    </row>
    <row r="387" spans="1:2" x14ac:dyDescent="0.55000000000000004">
      <c r="A387" t="s">
        <v>290</v>
      </c>
      <c r="B387" t="s">
        <v>761</v>
      </c>
    </row>
    <row r="388" spans="1:2" x14ac:dyDescent="0.55000000000000004">
      <c r="A388" t="s">
        <v>150</v>
      </c>
      <c r="B388" t="s">
        <v>761</v>
      </c>
    </row>
    <row r="389" spans="1:2" x14ac:dyDescent="0.55000000000000004">
      <c r="A389" t="s">
        <v>262</v>
      </c>
      <c r="B389" t="s">
        <v>761</v>
      </c>
    </row>
    <row r="390" spans="1:2" x14ac:dyDescent="0.55000000000000004">
      <c r="A390" t="s">
        <v>286</v>
      </c>
      <c r="B390" t="s">
        <v>761</v>
      </c>
    </row>
    <row r="391" spans="1:2" x14ac:dyDescent="0.55000000000000004">
      <c r="A391" t="s">
        <v>402</v>
      </c>
      <c r="B391" t="s">
        <v>761</v>
      </c>
    </row>
    <row r="392" spans="1:2" x14ac:dyDescent="0.55000000000000004">
      <c r="A392" t="s">
        <v>113</v>
      </c>
      <c r="B392" t="s">
        <v>761</v>
      </c>
    </row>
    <row r="393" spans="1:2" x14ac:dyDescent="0.55000000000000004">
      <c r="A393" t="s">
        <v>488</v>
      </c>
      <c r="B393" t="s">
        <v>761</v>
      </c>
    </row>
    <row r="394" spans="1:2" x14ac:dyDescent="0.55000000000000004">
      <c r="A394" t="s">
        <v>82</v>
      </c>
      <c r="B394" t="s">
        <v>761</v>
      </c>
    </row>
    <row r="395" spans="1:2" x14ac:dyDescent="0.55000000000000004">
      <c r="A395" t="s">
        <v>43</v>
      </c>
      <c r="B395" t="s">
        <v>761</v>
      </c>
    </row>
    <row r="396" spans="1:2" x14ac:dyDescent="0.55000000000000004">
      <c r="A396" t="s">
        <v>350</v>
      </c>
      <c r="B396" t="s">
        <v>761</v>
      </c>
    </row>
    <row r="397" spans="1:2" x14ac:dyDescent="0.55000000000000004">
      <c r="A397" t="s">
        <v>371</v>
      </c>
      <c r="B397" t="s">
        <v>761</v>
      </c>
    </row>
    <row r="398" spans="1:2" x14ac:dyDescent="0.55000000000000004">
      <c r="A398" t="s">
        <v>179</v>
      </c>
      <c r="B398" t="s">
        <v>761</v>
      </c>
    </row>
    <row r="399" spans="1:2" x14ac:dyDescent="0.55000000000000004">
      <c r="A399" t="s">
        <v>348</v>
      </c>
      <c r="B399" t="s">
        <v>761</v>
      </c>
    </row>
    <row r="400" spans="1:2" x14ac:dyDescent="0.55000000000000004">
      <c r="A400" t="s">
        <v>180</v>
      </c>
      <c r="B400" t="s">
        <v>761</v>
      </c>
    </row>
    <row r="401" spans="1:2" x14ac:dyDescent="0.55000000000000004">
      <c r="A401" t="s">
        <v>129</v>
      </c>
      <c r="B401" t="s">
        <v>761</v>
      </c>
    </row>
    <row r="402" spans="1:2" x14ac:dyDescent="0.55000000000000004">
      <c r="A402" t="s">
        <v>463</v>
      </c>
      <c r="B402" t="s">
        <v>761</v>
      </c>
    </row>
    <row r="403" spans="1:2" x14ac:dyDescent="0.55000000000000004">
      <c r="A403" t="s">
        <v>44</v>
      </c>
      <c r="B403" t="s">
        <v>761</v>
      </c>
    </row>
    <row r="404" spans="1:2" x14ac:dyDescent="0.55000000000000004">
      <c r="A404" t="s">
        <v>343</v>
      </c>
      <c r="B404" t="s">
        <v>761</v>
      </c>
    </row>
    <row r="405" spans="1:2" x14ac:dyDescent="0.55000000000000004">
      <c r="A405" t="s">
        <v>285</v>
      </c>
      <c r="B405" t="s">
        <v>761</v>
      </c>
    </row>
    <row r="406" spans="1:2" x14ac:dyDescent="0.55000000000000004">
      <c r="A406" t="s">
        <v>482</v>
      </c>
      <c r="B406" t="s">
        <v>761</v>
      </c>
    </row>
    <row r="407" spans="1:2" x14ac:dyDescent="0.55000000000000004">
      <c r="A407" t="s">
        <v>42</v>
      </c>
      <c r="B407" t="s">
        <v>761</v>
      </c>
    </row>
    <row r="408" spans="1:2" x14ac:dyDescent="0.55000000000000004">
      <c r="A408" t="s">
        <v>454</v>
      </c>
      <c r="B408" t="s">
        <v>761</v>
      </c>
    </row>
    <row r="409" spans="1:2" x14ac:dyDescent="0.55000000000000004">
      <c r="A409" t="s">
        <v>425</v>
      </c>
      <c r="B409" t="s">
        <v>761</v>
      </c>
    </row>
    <row r="410" spans="1:2" x14ac:dyDescent="0.55000000000000004">
      <c r="A410" t="s">
        <v>86</v>
      </c>
      <c r="B410" t="s">
        <v>761</v>
      </c>
    </row>
    <row r="411" spans="1:2" x14ac:dyDescent="0.55000000000000004">
      <c r="A411" t="s">
        <v>449</v>
      </c>
      <c r="B411" t="s">
        <v>761</v>
      </c>
    </row>
    <row r="412" spans="1:2" x14ac:dyDescent="0.55000000000000004">
      <c r="A412" t="s">
        <v>271</v>
      </c>
      <c r="B412" t="s">
        <v>761</v>
      </c>
    </row>
    <row r="413" spans="1:2" x14ac:dyDescent="0.55000000000000004">
      <c r="A413" t="s">
        <v>92</v>
      </c>
      <c r="B413" t="s">
        <v>761</v>
      </c>
    </row>
    <row r="414" spans="1:2" x14ac:dyDescent="0.55000000000000004">
      <c r="A414" t="s">
        <v>134</v>
      </c>
      <c r="B414" t="s">
        <v>761</v>
      </c>
    </row>
    <row r="415" spans="1:2" x14ac:dyDescent="0.55000000000000004">
      <c r="A415" t="s">
        <v>526</v>
      </c>
      <c r="B415" t="s">
        <v>761</v>
      </c>
    </row>
    <row r="416" spans="1:2" x14ac:dyDescent="0.55000000000000004">
      <c r="A416" t="s">
        <v>432</v>
      </c>
      <c r="B416" t="s">
        <v>761</v>
      </c>
    </row>
    <row r="417" spans="1:2" x14ac:dyDescent="0.55000000000000004">
      <c r="A417" t="s">
        <v>412</v>
      </c>
      <c r="B417" t="s">
        <v>761</v>
      </c>
    </row>
    <row r="418" spans="1:2" x14ac:dyDescent="0.55000000000000004">
      <c r="A418" t="s">
        <v>535</v>
      </c>
      <c r="B418" t="s">
        <v>761</v>
      </c>
    </row>
    <row r="419" spans="1:2" x14ac:dyDescent="0.55000000000000004">
      <c r="A419" t="s">
        <v>510</v>
      </c>
      <c r="B419" t="s">
        <v>761</v>
      </c>
    </row>
    <row r="420" spans="1:2" x14ac:dyDescent="0.55000000000000004">
      <c r="A420" t="s">
        <v>322</v>
      </c>
      <c r="B420" t="s">
        <v>761</v>
      </c>
    </row>
    <row r="421" spans="1:2" x14ac:dyDescent="0.55000000000000004">
      <c r="A421" t="s">
        <v>164</v>
      </c>
      <c r="B421" t="s">
        <v>761</v>
      </c>
    </row>
    <row r="422" spans="1:2" x14ac:dyDescent="0.55000000000000004">
      <c r="A422" t="s">
        <v>69</v>
      </c>
      <c r="B422" t="s">
        <v>761</v>
      </c>
    </row>
    <row r="423" spans="1:2" x14ac:dyDescent="0.55000000000000004">
      <c r="A423" t="s">
        <v>446</v>
      </c>
      <c r="B423" t="s">
        <v>761</v>
      </c>
    </row>
    <row r="424" spans="1:2" x14ac:dyDescent="0.55000000000000004">
      <c r="A424" t="s">
        <v>135</v>
      </c>
      <c r="B424" t="s">
        <v>761</v>
      </c>
    </row>
    <row r="425" spans="1:2" x14ac:dyDescent="0.55000000000000004">
      <c r="A425" t="s">
        <v>513</v>
      </c>
      <c r="B425" t="s">
        <v>761</v>
      </c>
    </row>
    <row r="426" spans="1:2" x14ac:dyDescent="0.55000000000000004">
      <c r="A426" t="s">
        <v>49</v>
      </c>
      <c r="B426" t="s">
        <v>761</v>
      </c>
    </row>
    <row r="427" spans="1:2" x14ac:dyDescent="0.55000000000000004">
      <c r="A427" t="s">
        <v>93</v>
      </c>
      <c r="B427" t="s">
        <v>761</v>
      </c>
    </row>
    <row r="428" spans="1:2" x14ac:dyDescent="0.55000000000000004">
      <c r="A428" t="s">
        <v>335</v>
      </c>
      <c r="B428" t="s">
        <v>761</v>
      </c>
    </row>
    <row r="429" spans="1:2" x14ac:dyDescent="0.55000000000000004">
      <c r="A429" t="s">
        <v>225</v>
      </c>
      <c r="B429" t="s">
        <v>761</v>
      </c>
    </row>
    <row r="430" spans="1:2" x14ac:dyDescent="0.55000000000000004">
      <c r="A430" t="s">
        <v>110</v>
      </c>
      <c r="B430" t="s">
        <v>761</v>
      </c>
    </row>
    <row r="431" spans="1:2" x14ac:dyDescent="0.55000000000000004">
      <c r="A431" t="s">
        <v>501</v>
      </c>
      <c r="B431" t="s">
        <v>761</v>
      </c>
    </row>
    <row r="432" spans="1:2" x14ac:dyDescent="0.55000000000000004">
      <c r="A432" t="s">
        <v>546</v>
      </c>
      <c r="B432" t="s">
        <v>761</v>
      </c>
    </row>
    <row r="433" spans="1:2" x14ac:dyDescent="0.55000000000000004">
      <c r="A433" t="s">
        <v>325</v>
      </c>
      <c r="B433" t="s">
        <v>761</v>
      </c>
    </row>
    <row r="434" spans="1:2" x14ac:dyDescent="0.55000000000000004">
      <c r="A434" t="s">
        <v>12</v>
      </c>
      <c r="B434" t="s">
        <v>761</v>
      </c>
    </row>
    <row r="435" spans="1:2" x14ac:dyDescent="0.55000000000000004">
      <c r="A435" t="s">
        <v>310</v>
      </c>
      <c r="B435" t="s">
        <v>761</v>
      </c>
    </row>
    <row r="436" spans="1:2" x14ac:dyDescent="0.55000000000000004">
      <c r="A436" t="s">
        <v>9</v>
      </c>
      <c r="B436" t="s">
        <v>761</v>
      </c>
    </row>
    <row r="437" spans="1:2" x14ac:dyDescent="0.55000000000000004">
      <c r="A437" t="s">
        <v>347</v>
      </c>
      <c r="B437" t="s">
        <v>761</v>
      </c>
    </row>
    <row r="438" spans="1:2" x14ac:dyDescent="0.55000000000000004">
      <c r="A438" t="s">
        <v>439</v>
      </c>
      <c r="B438" t="s">
        <v>761</v>
      </c>
    </row>
    <row r="439" spans="1:2" x14ac:dyDescent="0.55000000000000004">
      <c r="A439" t="s">
        <v>39</v>
      </c>
      <c r="B439" t="s">
        <v>761</v>
      </c>
    </row>
    <row r="440" spans="1:2" x14ac:dyDescent="0.55000000000000004">
      <c r="A440" t="s">
        <v>545</v>
      </c>
      <c r="B440" t="s">
        <v>761</v>
      </c>
    </row>
    <row r="441" spans="1:2" x14ac:dyDescent="0.55000000000000004">
      <c r="A441" t="s">
        <v>123</v>
      </c>
      <c r="B441" t="s">
        <v>761</v>
      </c>
    </row>
    <row r="442" spans="1:2" x14ac:dyDescent="0.55000000000000004">
      <c r="A442" t="s">
        <v>18</v>
      </c>
      <c r="B442" t="s">
        <v>761</v>
      </c>
    </row>
    <row r="443" spans="1:2" x14ac:dyDescent="0.55000000000000004">
      <c r="A443" t="s">
        <v>68</v>
      </c>
      <c r="B443" t="s">
        <v>761</v>
      </c>
    </row>
    <row r="444" spans="1:2" x14ac:dyDescent="0.55000000000000004">
      <c r="A444" t="s">
        <v>143</v>
      </c>
      <c r="B444" t="s">
        <v>761</v>
      </c>
    </row>
    <row r="445" spans="1:2" x14ac:dyDescent="0.55000000000000004">
      <c r="A445" t="s">
        <v>226</v>
      </c>
      <c r="B445" t="s">
        <v>761</v>
      </c>
    </row>
    <row r="446" spans="1:2" x14ac:dyDescent="0.55000000000000004">
      <c r="A446" t="s">
        <v>172</v>
      </c>
      <c r="B446" t="s">
        <v>761</v>
      </c>
    </row>
    <row r="447" spans="1:2" x14ac:dyDescent="0.55000000000000004">
      <c r="A447" t="s">
        <v>443</v>
      </c>
      <c r="B447" t="s">
        <v>761</v>
      </c>
    </row>
    <row r="448" spans="1:2" x14ac:dyDescent="0.55000000000000004">
      <c r="A448" t="s">
        <v>542</v>
      </c>
      <c r="B448" t="s">
        <v>761</v>
      </c>
    </row>
    <row r="449" spans="1:2" x14ac:dyDescent="0.55000000000000004">
      <c r="A449" t="s">
        <v>451</v>
      </c>
      <c r="B449" t="s">
        <v>761</v>
      </c>
    </row>
    <row r="450" spans="1:2" x14ac:dyDescent="0.55000000000000004">
      <c r="A450" t="s">
        <v>543</v>
      </c>
      <c r="B450" t="s">
        <v>761</v>
      </c>
    </row>
    <row r="451" spans="1:2" x14ac:dyDescent="0.55000000000000004">
      <c r="A451" t="s">
        <v>266</v>
      </c>
      <c r="B451" t="s">
        <v>761</v>
      </c>
    </row>
    <row r="452" spans="1:2" x14ac:dyDescent="0.55000000000000004">
      <c r="A452" t="s">
        <v>111</v>
      </c>
      <c r="B452" t="s">
        <v>761</v>
      </c>
    </row>
    <row r="453" spans="1:2" x14ac:dyDescent="0.55000000000000004">
      <c r="A453" t="s">
        <v>420</v>
      </c>
      <c r="B453" t="s">
        <v>761</v>
      </c>
    </row>
    <row r="454" spans="1:2" x14ac:dyDescent="0.55000000000000004">
      <c r="A454" t="s">
        <v>324</v>
      </c>
      <c r="B454" t="s">
        <v>761</v>
      </c>
    </row>
    <row r="455" spans="1:2" x14ac:dyDescent="0.55000000000000004">
      <c r="A455" t="s">
        <v>471</v>
      </c>
      <c r="B455" t="s">
        <v>761</v>
      </c>
    </row>
    <row r="456" spans="1:2" x14ac:dyDescent="0.55000000000000004">
      <c r="A456" t="s">
        <v>298</v>
      </c>
      <c r="B456" t="s">
        <v>761</v>
      </c>
    </row>
    <row r="457" spans="1:2" x14ac:dyDescent="0.55000000000000004">
      <c r="A457" t="s">
        <v>361</v>
      </c>
      <c r="B457" t="s">
        <v>761</v>
      </c>
    </row>
    <row r="458" spans="1:2" x14ac:dyDescent="0.55000000000000004">
      <c r="A458" t="s">
        <v>289</v>
      </c>
      <c r="B458" t="s">
        <v>761</v>
      </c>
    </row>
    <row r="459" spans="1:2" x14ac:dyDescent="0.55000000000000004">
      <c r="A459" t="s">
        <v>165</v>
      </c>
      <c r="B459" t="s">
        <v>761</v>
      </c>
    </row>
    <row r="460" spans="1:2" x14ac:dyDescent="0.55000000000000004">
      <c r="A460" t="s">
        <v>185</v>
      </c>
      <c r="B460" t="s">
        <v>761</v>
      </c>
    </row>
    <row r="461" spans="1:2" x14ac:dyDescent="0.55000000000000004">
      <c r="A461" t="s">
        <v>368</v>
      </c>
      <c r="B461" t="s">
        <v>761</v>
      </c>
    </row>
    <row r="462" spans="1:2" x14ac:dyDescent="0.55000000000000004">
      <c r="A462" t="s">
        <v>132</v>
      </c>
      <c r="B462" t="s">
        <v>761</v>
      </c>
    </row>
    <row r="463" spans="1:2" x14ac:dyDescent="0.55000000000000004">
      <c r="A463" t="s">
        <v>128</v>
      </c>
      <c r="B463" t="s">
        <v>761</v>
      </c>
    </row>
    <row r="464" spans="1:2" x14ac:dyDescent="0.55000000000000004">
      <c r="A464" t="s">
        <v>95</v>
      </c>
      <c r="B464" t="s">
        <v>761</v>
      </c>
    </row>
    <row r="465" spans="1:2" x14ac:dyDescent="0.55000000000000004">
      <c r="A465" t="s">
        <v>7</v>
      </c>
      <c r="B465" t="s">
        <v>761</v>
      </c>
    </row>
    <row r="466" spans="1:2" x14ac:dyDescent="0.55000000000000004">
      <c r="A466" t="s">
        <v>229</v>
      </c>
      <c r="B466" t="s">
        <v>761</v>
      </c>
    </row>
    <row r="467" spans="1:2" x14ac:dyDescent="0.55000000000000004">
      <c r="A467" t="s">
        <v>75</v>
      </c>
      <c r="B467" t="s">
        <v>761</v>
      </c>
    </row>
    <row r="468" spans="1:2" x14ac:dyDescent="0.55000000000000004">
      <c r="A468" t="s">
        <v>392</v>
      </c>
      <c r="B468" t="s">
        <v>761</v>
      </c>
    </row>
    <row r="469" spans="1:2" x14ac:dyDescent="0.55000000000000004">
      <c r="A469" t="s">
        <v>492</v>
      </c>
      <c r="B469" t="s">
        <v>761</v>
      </c>
    </row>
    <row r="470" spans="1:2" x14ac:dyDescent="0.55000000000000004">
      <c r="A470" t="s">
        <v>374</v>
      </c>
      <c r="B470" t="s">
        <v>761</v>
      </c>
    </row>
    <row r="471" spans="1:2" x14ac:dyDescent="0.55000000000000004">
      <c r="A471" t="s">
        <v>187</v>
      </c>
      <c r="B471" t="s">
        <v>761</v>
      </c>
    </row>
    <row r="472" spans="1:2" x14ac:dyDescent="0.55000000000000004">
      <c r="A472" t="s">
        <v>342</v>
      </c>
      <c r="B472" t="s">
        <v>761</v>
      </c>
    </row>
    <row r="473" spans="1:2" x14ac:dyDescent="0.55000000000000004">
      <c r="A473" t="s">
        <v>547</v>
      </c>
      <c r="B473" t="s">
        <v>761</v>
      </c>
    </row>
    <row r="474" spans="1:2" x14ac:dyDescent="0.55000000000000004">
      <c r="A474" t="s">
        <v>29</v>
      </c>
      <c r="B474" t="s">
        <v>761</v>
      </c>
    </row>
    <row r="475" spans="1:2" x14ac:dyDescent="0.55000000000000004">
      <c r="A475" t="s">
        <v>158</v>
      </c>
      <c r="B475" t="s">
        <v>761</v>
      </c>
    </row>
    <row r="476" spans="1:2" x14ac:dyDescent="0.55000000000000004">
      <c r="A476" t="s">
        <v>104</v>
      </c>
      <c r="B476" t="s">
        <v>761</v>
      </c>
    </row>
    <row r="477" spans="1:2" x14ac:dyDescent="0.55000000000000004">
      <c r="A477" t="s">
        <v>209</v>
      </c>
      <c r="B477" t="s">
        <v>761</v>
      </c>
    </row>
    <row r="478" spans="1:2" x14ac:dyDescent="0.55000000000000004">
      <c r="A478" t="s">
        <v>481</v>
      </c>
      <c r="B478" t="s">
        <v>761</v>
      </c>
    </row>
    <row r="479" spans="1:2" x14ac:dyDescent="0.55000000000000004">
      <c r="A479" t="s">
        <v>133</v>
      </c>
      <c r="B479" t="s">
        <v>761</v>
      </c>
    </row>
    <row r="480" spans="1:2" x14ac:dyDescent="0.55000000000000004">
      <c r="A480" t="s">
        <v>57</v>
      </c>
      <c r="B480" t="s">
        <v>761</v>
      </c>
    </row>
    <row r="481" spans="1:2" x14ac:dyDescent="0.55000000000000004">
      <c r="A481" t="s">
        <v>27</v>
      </c>
      <c r="B481" t="s">
        <v>761</v>
      </c>
    </row>
    <row r="482" spans="1:2" x14ac:dyDescent="0.55000000000000004">
      <c r="A482" t="s">
        <v>207</v>
      </c>
      <c r="B482" t="s">
        <v>761</v>
      </c>
    </row>
    <row r="483" spans="1:2" x14ac:dyDescent="0.55000000000000004">
      <c r="A483" t="s">
        <v>401</v>
      </c>
      <c r="B483" t="s">
        <v>761</v>
      </c>
    </row>
    <row r="484" spans="1:2" x14ac:dyDescent="0.55000000000000004">
      <c r="A484" t="s">
        <v>341</v>
      </c>
      <c r="B484" t="s">
        <v>761</v>
      </c>
    </row>
    <row r="485" spans="1:2" x14ac:dyDescent="0.55000000000000004">
      <c r="A485" t="s">
        <v>389</v>
      </c>
      <c r="B485" t="s">
        <v>761</v>
      </c>
    </row>
    <row r="486" spans="1:2" x14ac:dyDescent="0.55000000000000004">
      <c r="A486" t="s">
        <v>416</v>
      </c>
      <c r="B486" t="s">
        <v>761</v>
      </c>
    </row>
    <row r="487" spans="1:2" x14ac:dyDescent="0.55000000000000004">
      <c r="A487" t="s">
        <v>130</v>
      </c>
      <c r="B487" t="s">
        <v>768</v>
      </c>
    </row>
    <row r="488" spans="1:2" x14ac:dyDescent="0.55000000000000004">
      <c r="A488" t="s">
        <v>388</v>
      </c>
      <c r="B488" t="s">
        <v>768</v>
      </c>
    </row>
    <row r="489" spans="1:2" x14ac:dyDescent="0.55000000000000004">
      <c r="A489" t="s">
        <v>171</v>
      </c>
      <c r="B489" t="s">
        <v>768</v>
      </c>
    </row>
    <row r="490" spans="1:2" x14ac:dyDescent="0.55000000000000004">
      <c r="A490" t="s">
        <v>413</v>
      </c>
      <c r="B490" t="s">
        <v>768</v>
      </c>
    </row>
    <row r="491" spans="1:2" x14ac:dyDescent="0.55000000000000004">
      <c r="A491" t="s">
        <v>525</v>
      </c>
      <c r="B491" t="s">
        <v>768</v>
      </c>
    </row>
    <row r="492" spans="1:2" x14ac:dyDescent="0.55000000000000004">
      <c r="A492" t="s">
        <v>327</v>
      </c>
      <c r="B492" t="s">
        <v>768</v>
      </c>
    </row>
    <row r="493" spans="1:2" x14ac:dyDescent="0.55000000000000004">
      <c r="A493" t="s">
        <v>153</v>
      </c>
      <c r="B493" t="s">
        <v>768</v>
      </c>
    </row>
    <row r="494" spans="1:2" x14ac:dyDescent="0.55000000000000004">
      <c r="A494" t="s">
        <v>109</v>
      </c>
      <c r="B494" t="s">
        <v>768</v>
      </c>
    </row>
    <row r="495" spans="1:2" x14ac:dyDescent="0.55000000000000004">
      <c r="A495" t="s">
        <v>34</v>
      </c>
      <c r="B495" t="s">
        <v>768</v>
      </c>
    </row>
    <row r="496" spans="1:2" x14ac:dyDescent="0.55000000000000004">
      <c r="A496" t="s">
        <v>245</v>
      </c>
      <c r="B496" t="s">
        <v>768</v>
      </c>
    </row>
    <row r="497" spans="1:2" x14ac:dyDescent="0.55000000000000004">
      <c r="A497" t="s">
        <v>365</v>
      </c>
      <c r="B497" t="s">
        <v>768</v>
      </c>
    </row>
    <row r="498" spans="1:2" x14ac:dyDescent="0.55000000000000004">
      <c r="A498" t="s">
        <v>549</v>
      </c>
      <c r="B498" t="s">
        <v>768</v>
      </c>
    </row>
    <row r="499" spans="1:2" x14ac:dyDescent="0.55000000000000004">
      <c r="A499" t="s">
        <v>210</v>
      </c>
      <c r="B499" t="s">
        <v>768</v>
      </c>
    </row>
    <row r="500" spans="1:2" x14ac:dyDescent="0.55000000000000004">
      <c r="A500" t="s">
        <v>283</v>
      </c>
      <c r="B500" t="s">
        <v>768</v>
      </c>
    </row>
    <row r="501" spans="1:2" x14ac:dyDescent="0.55000000000000004">
      <c r="A501" t="s">
        <v>248</v>
      </c>
      <c r="B501" t="s">
        <v>768</v>
      </c>
    </row>
    <row r="502" spans="1:2" x14ac:dyDescent="0.55000000000000004">
      <c r="A502" t="s">
        <v>398</v>
      </c>
      <c r="B502" t="s">
        <v>768</v>
      </c>
    </row>
    <row r="503" spans="1:2" x14ac:dyDescent="0.55000000000000004">
      <c r="A503" t="s">
        <v>320</v>
      </c>
      <c r="B503" t="s">
        <v>768</v>
      </c>
    </row>
    <row r="504" spans="1:2" x14ac:dyDescent="0.55000000000000004">
      <c r="A504" t="s">
        <v>508</v>
      </c>
      <c r="B504" t="s">
        <v>768</v>
      </c>
    </row>
    <row r="505" spans="1:2" x14ac:dyDescent="0.55000000000000004">
      <c r="A505" t="s">
        <v>232</v>
      </c>
      <c r="B505" t="s">
        <v>768</v>
      </c>
    </row>
    <row r="506" spans="1:2" x14ac:dyDescent="0.55000000000000004">
      <c r="A506" t="s">
        <v>518</v>
      </c>
      <c r="B506" t="s">
        <v>768</v>
      </c>
    </row>
    <row r="507" spans="1:2" x14ac:dyDescent="0.55000000000000004">
      <c r="A507" t="s">
        <v>355</v>
      </c>
      <c r="B507" t="s">
        <v>768</v>
      </c>
    </row>
    <row r="508" spans="1:2" x14ac:dyDescent="0.55000000000000004">
      <c r="A508" t="s">
        <v>137</v>
      </c>
      <c r="B508" t="s">
        <v>768</v>
      </c>
    </row>
    <row r="509" spans="1:2" x14ac:dyDescent="0.55000000000000004">
      <c r="A509" t="s">
        <v>476</v>
      </c>
      <c r="B509" t="s">
        <v>768</v>
      </c>
    </row>
    <row r="510" spans="1:2" x14ac:dyDescent="0.55000000000000004">
      <c r="A510" t="s">
        <v>780</v>
      </c>
      <c r="B510" t="s">
        <v>768</v>
      </c>
    </row>
    <row r="511" spans="1:2" x14ac:dyDescent="0.55000000000000004">
      <c r="A511" t="s">
        <v>784</v>
      </c>
      <c r="B511" t="s">
        <v>768</v>
      </c>
    </row>
    <row r="512" spans="1:2" x14ac:dyDescent="0.55000000000000004">
      <c r="A512" t="s">
        <v>800</v>
      </c>
      <c r="B512" t="s">
        <v>768</v>
      </c>
    </row>
    <row r="513" spans="1:2" x14ac:dyDescent="0.55000000000000004">
      <c r="A513" t="s">
        <v>809</v>
      </c>
      <c r="B513" t="s">
        <v>768</v>
      </c>
    </row>
    <row r="514" spans="1:2" x14ac:dyDescent="0.55000000000000004">
      <c r="A514" t="s">
        <v>810</v>
      </c>
      <c r="B514" t="s">
        <v>768</v>
      </c>
    </row>
    <row r="515" spans="1:2" x14ac:dyDescent="0.55000000000000004">
      <c r="A515" t="s">
        <v>811</v>
      </c>
      <c r="B515" t="s">
        <v>768</v>
      </c>
    </row>
    <row r="516" spans="1:2" x14ac:dyDescent="0.55000000000000004">
      <c r="A516" t="s">
        <v>813</v>
      </c>
      <c r="B516" t="s">
        <v>768</v>
      </c>
    </row>
    <row r="517" spans="1:2" x14ac:dyDescent="0.55000000000000004">
      <c r="A517" t="s">
        <v>814</v>
      </c>
      <c r="B517" t="s">
        <v>768</v>
      </c>
    </row>
    <row r="518" spans="1:2" x14ac:dyDescent="0.55000000000000004">
      <c r="A518" t="s">
        <v>816</v>
      </c>
      <c r="B518" t="s">
        <v>768</v>
      </c>
    </row>
    <row r="519" spans="1:2" x14ac:dyDescent="0.55000000000000004">
      <c r="A519" t="s">
        <v>817</v>
      </c>
      <c r="B519" t="s">
        <v>768</v>
      </c>
    </row>
    <row r="520" spans="1:2" x14ac:dyDescent="0.55000000000000004">
      <c r="A520" t="s">
        <v>125</v>
      </c>
      <c r="B520" t="s">
        <v>755</v>
      </c>
    </row>
    <row r="521" spans="1:2" x14ac:dyDescent="0.55000000000000004">
      <c r="A521" t="s">
        <v>80</v>
      </c>
      <c r="B521" t="s">
        <v>755</v>
      </c>
    </row>
    <row r="522" spans="1:2" x14ac:dyDescent="0.55000000000000004">
      <c r="A522" t="s">
        <v>363</v>
      </c>
      <c r="B522" t="s">
        <v>755</v>
      </c>
    </row>
    <row r="523" spans="1:2" x14ac:dyDescent="0.55000000000000004">
      <c r="A523" t="s">
        <v>106</v>
      </c>
      <c r="B523" t="s">
        <v>755</v>
      </c>
    </row>
    <row r="524" spans="1:2" x14ac:dyDescent="0.55000000000000004">
      <c r="A524" t="s">
        <v>142</v>
      </c>
      <c r="B524" t="s">
        <v>755</v>
      </c>
    </row>
    <row r="525" spans="1:2" x14ac:dyDescent="0.55000000000000004">
      <c r="A525" t="s">
        <v>287</v>
      </c>
      <c r="B525" t="s">
        <v>755</v>
      </c>
    </row>
    <row r="526" spans="1:2" x14ac:dyDescent="0.55000000000000004">
      <c r="A526" t="s">
        <v>460</v>
      </c>
      <c r="B526" t="s">
        <v>755</v>
      </c>
    </row>
    <row r="527" spans="1:2" x14ac:dyDescent="0.55000000000000004">
      <c r="A527" t="s">
        <v>140</v>
      </c>
      <c r="B527" t="s">
        <v>755</v>
      </c>
    </row>
    <row r="528" spans="1:2" x14ac:dyDescent="0.55000000000000004">
      <c r="A528" t="s">
        <v>484</v>
      </c>
      <c r="B528" t="s">
        <v>763</v>
      </c>
    </row>
    <row r="529" spans="1:2" x14ac:dyDescent="0.55000000000000004">
      <c r="A529" t="s">
        <v>469</v>
      </c>
      <c r="B529" t="s">
        <v>763</v>
      </c>
    </row>
    <row r="530" spans="1:2" x14ac:dyDescent="0.55000000000000004">
      <c r="A530" t="s">
        <v>435</v>
      </c>
      <c r="B530" t="s">
        <v>763</v>
      </c>
    </row>
    <row r="531" spans="1:2" x14ac:dyDescent="0.55000000000000004">
      <c r="A531" t="s">
        <v>551</v>
      </c>
      <c r="B531" t="s">
        <v>763</v>
      </c>
    </row>
    <row r="532" spans="1:2" x14ac:dyDescent="0.55000000000000004">
      <c r="A532" t="s">
        <v>173</v>
      </c>
      <c r="B532" t="s">
        <v>763</v>
      </c>
    </row>
    <row r="533" spans="1:2" x14ac:dyDescent="0.55000000000000004">
      <c r="A533" t="s">
        <v>249</v>
      </c>
      <c r="B533" t="s">
        <v>763</v>
      </c>
    </row>
    <row r="534" spans="1:2" x14ac:dyDescent="0.55000000000000004">
      <c r="A534" t="s">
        <v>196</v>
      </c>
      <c r="B534" t="s">
        <v>763</v>
      </c>
    </row>
    <row r="535" spans="1:2" x14ac:dyDescent="0.55000000000000004">
      <c r="A535" t="s">
        <v>479</v>
      </c>
      <c r="B535" t="s">
        <v>763</v>
      </c>
    </row>
    <row r="536" spans="1:2" x14ac:dyDescent="0.55000000000000004">
      <c r="A536" t="s">
        <v>91</v>
      </c>
      <c r="B536" t="s">
        <v>763</v>
      </c>
    </row>
    <row r="537" spans="1:2" x14ac:dyDescent="0.55000000000000004">
      <c r="A537" t="s">
        <v>87</v>
      </c>
      <c r="B537" t="s">
        <v>763</v>
      </c>
    </row>
    <row r="538" spans="1:2" x14ac:dyDescent="0.55000000000000004">
      <c r="A538" t="s">
        <v>159</v>
      </c>
      <c r="B538" t="s">
        <v>763</v>
      </c>
    </row>
    <row r="539" spans="1:2" x14ac:dyDescent="0.55000000000000004">
      <c r="A539" t="s">
        <v>357</v>
      </c>
      <c r="B539" t="s">
        <v>763</v>
      </c>
    </row>
    <row r="540" spans="1:2" x14ac:dyDescent="0.55000000000000004">
      <c r="A540" t="s">
        <v>10</v>
      </c>
      <c r="B540" t="s">
        <v>763</v>
      </c>
    </row>
    <row r="541" spans="1:2" x14ac:dyDescent="0.55000000000000004">
      <c r="A541" t="s">
        <v>219</v>
      </c>
      <c r="B541" t="s">
        <v>763</v>
      </c>
    </row>
    <row r="542" spans="1:2" x14ac:dyDescent="0.55000000000000004">
      <c r="A542" t="s">
        <v>445</v>
      </c>
      <c r="B542" t="s">
        <v>763</v>
      </c>
    </row>
    <row r="543" spans="1:2" x14ac:dyDescent="0.55000000000000004">
      <c r="A543" t="s">
        <v>46</v>
      </c>
      <c r="B543" t="s">
        <v>763</v>
      </c>
    </row>
    <row r="544" spans="1:2" x14ac:dyDescent="0.55000000000000004">
      <c r="A544" t="s">
        <v>373</v>
      </c>
      <c r="B544" t="s">
        <v>763</v>
      </c>
    </row>
    <row r="545" spans="1:2" x14ac:dyDescent="0.55000000000000004">
      <c r="A545" t="s">
        <v>62</v>
      </c>
      <c r="B545" t="s">
        <v>763</v>
      </c>
    </row>
    <row r="546" spans="1:2" x14ac:dyDescent="0.55000000000000004">
      <c r="A546" t="s">
        <v>194</v>
      </c>
      <c r="B546" t="s">
        <v>763</v>
      </c>
    </row>
    <row r="547" spans="1:2" x14ac:dyDescent="0.55000000000000004">
      <c r="A547" t="s">
        <v>506</v>
      </c>
      <c r="B547" t="s">
        <v>763</v>
      </c>
    </row>
    <row r="548" spans="1:2" x14ac:dyDescent="0.55000000000000004">
      <c r="A548" t="s">
        <v>533</v>
      </c>
      <c r="B548" t="s">
        <v>765</v>
      </c>
    </row>
    <row r="549" spans="1:2" x14ac:dyDescent="0.55000000000000004">
      <c r="A549" t="s">
        <v>136</v>
      </c>
      <c r="B549" t="s">
        <v>765</v>
      </c>
    </row>
    <row r="550" spans="1:2" x14ac:dyDescent="0.55000000000000004">
      <c r="A550" t="s">
        <v>37</v>
      </c>
      <c r="B550" t="s">
        <v>765</v>
      </c>
    </row>
    <row r="551" spans="1:2" x14ac:dyDescent="0.55000000000000004">
      <c r="A551" t="s">
        <v>517</v>
      </c>
      <c r="B551" t="s">
        <v>765</v>
      </c>
    </row>
    <row r="552" spans="1:2" x14ac:dyDescent="0.55000000000000004">
      <c r="A552" t="s">
        <v>274</v>
      </c>
      <c r="B552" t="s">
        <v>765</v>
      </c>
    </row>
    <row r="553" spans="1:2" x14ac:dyDescent="0.55000000000000004">
      <c r="A553" t="s">
        <v>242</v>
      </c>
      <c r="B553" t="s">
        <v>765</v>
      </c>
    </row>
    <row r="554" spans="1:2" x14ac:dyDescent="0.55000000000000004">
      <c r="A554" t="s">
        <v>277</v>
      </c>
      <c r="B554" t="s">
        <v>765</v>
      </c>
    </row>
    <row r="555" spans="1:2" x14ac:dyDescent="0.55000000000000004">
      <c r="A555" t="s">
        <v>61</v>
      </c>
      <c r="B555" t="s">
        <v>765</v>
      </c>
    </row>
    <row r="556" spans="1:2" x14ac:dyDescent="0.55000000000000004">
      <c r="A556" t="s">
        <v>419</v>
      </c>
      <c r="B556" t="s">
        <v>765</v>
      </c>
    </row>
    <row r="557" spans="1:2" x14ac:dyDescent="0.55000000000000004">
      <c r="A557" t="s">
        <v>441</v>
      </c>
      <c r="B557" t="s">
        <v>765</v>
      </c>
    </row>
    <row r="558" spans="1:2" x14ac:dyDescent="0.55000000000000004">
      <c r="A558" t="s">
        <v>198</v>
      </c>
      <c r="B558" t="s">
        <v>765</v>
      </c>
    </row>
    <row r="559" spans="1:2" x14ac:dyDescent="0.55000000000000004">
      <c r="A559" t="s">
        <v>47</v>
      </c>
      <c r="B559" t="s">
        <v>765</v>
      </c>
    </row>
    <row r="560" spans="1:2" x14ac:dyDescent="0.55000000000000004">
      <c r="A560" t="s">
        <v>33</v>
      </c>
      <c r="B560" t="s">
        <v>765</v>
      </c>
    </row>
    <row r="561" spans="1:2" x14ac:dyDescent="0.55000000000000004">
      <c r="A561" t="s">
        <v>190</v>
      </c>
      <c r="B561" t="s">
        <v>765</v>
      </c>
    </row>
    <row r="562" spans="1:2" x14ac:dyDescent="0.55000000000000004">
      <c r="A562" t="s">
        <v>539</v>
      </c>
      <c r="B562" t="s">
        <v>765</v>
      </c>
    </row>
    <row r="563" spans="1:2" x14ac:dyDescent="0.55000000000000004">
      <c r="A563" t="s">
        <v>426</v>
      </c>
      <c r="B563" t="s">
        <v>765</v>
      </c>
    </row>
    <row r="564" spans="1:2" x14ac:dyDescent="0.55000000000000004">
      <c r="A564" t="s">
        <v>119</v>
      </c>
      <c r="B564" t="s">
        <v>765</v>
      </c>
    </row>
    <row r="565" spans="1:2" x14ac:dyDescent="0.55000000000000004">
      <c r="A565" t="s">
        <v>195</v>
      </c>
      <c r="B565" t="s">
        <v>765</v>
      </c>
    </row>
    <row r="566" spans="1:2" x14ac:dyDescent="0.55000000000000004">
      <c r="A566" t="s">
        <v>148</v>
      </c>
      <c r="B566" t="s">
        <v>765</v>
      </c>
    </row>
    <row r="567" spans="1:2" x14ac:dyDescent="0.55000000000000004">
      <c r="A567" t="s">
        <v>822</v>
      </c>
      <c r="B567" t="s">
        <v>765</v>
      </c>
    </row>
    <row r="568" spans="1:2" x14ac:dyDescent="0.55000000000000004">
      <c r="A568" t="s">
        <v>250</v>
      </c>
      <c r="B568" t="s">
        <v>756</v>
      </c>
    </row>
    <row r="569" spans="1:2" x14ac:dyDescent="0.55000000000000004">
      <c r="A569" t="s">
        <v>224</v>
      </c>
      <c r="B569" t="s">
        <v>756</v>
      </c>
    </row>
    <row r="570" spans="1:2" x14ac:dyDescent="0.55000000000000004">
      <c r="A570" t="s">
        <v>344</v>
      </c>
      <c r="B570" t="s">
        <v>756</v>
      </c>
    </row>
    <row r="571" spans="1:2" x14ac:dyDescent="0.55000000000000004">
      <c r="A571" t="s">
        <v>448</v>
      </c>
      <c r="B571" t="s">
        <v>756</v>
      </c>
    </row>
    <row r="572" spans="1:2" x14ac:dyDescent="0.55000000000000004">
      <c r="A572" t="s">
        <v>147</v>
      </c>
      <c r="B572" t="s">
        <v>756</v>
      </c>
    </row>
    <row r="573" spans="1:2" x14ac:dyDescent="0.55000000000000004">
      <c r="A573" t="s">
        <v>77</v>
      </c>
      <c r="B573" t="s">
        <v>756</v>
      </c>
    </row>
    <row r="574" spans="1:2" x14ac:dyDescent="0.55000000000000004">
      <c r="A574" t="s">
        <v>313</v>
      </c>
      <c r="B574" t="s">
        <v>756</v>
      </c>
    </row>
    <row r="575" spans="1:2" x14ac:dyDescent="0.55000000000000004">
      <c r="A575" t="s">
        <v>218</v>
      </c>
      <c r="B575" t="s">
        <v>756</v>
      </c>
    </row>
    <row r="576" spans="1:2" x14ac:dyDescent="0.55000000000000004">
      <c r="A576" t="s">
        <v>301</v>
      </c>
      <c r="B576" t="s">
        <v>756</v>
      </c>
    </row>
    <row r="577" spans="1:2" x14ac:dyDescent="0.55000000000000004">
      <c r="A577" t="s">
        <v>237</v>
      </c>
      <c r="B577" t="s">
        <v>756</v>
      </c>
    </row>
    <row r="578" spans="1:2" x14ac:dyDescent="0.55000000000000004">
      <c r="A578" t="s">
        <v>246</v>
      </c>
      <c r="B578" t="s">
        <v>756</v>
      </c>
    </row>
    <row r="579" spans="1:2" x14ac:dyDescent="0.55000000000000004">
      <c r="A579" t="s">
        <v>270</v>
      </c>
      <c r="B579" t="s">
        <v>756</v>
      </c>
    </row>
    <row r="580" spans="1:2" x14ac:dyDescent="0.55000000000000004">
      <c r="A580" t="s">
        <v>359</v>
      </c>
      <c r="B580" t="s">
        <v>756</v>
      </c>
    </row>
    <row r="581" spans="1:2" x14ac:dyDescent="0.55000000000000004">
      <c r="A581" t="s">
        <v>391</v>
      </c>
      <c r="B581" t="s">
        <v>756</v>
      </c>
    </row>
    <row r="582" spans="1:2" x14ac:dyDescent="0.55000000000000004">
      <c r="A582" t="s">
        <v>263</v>
      </c>
      <c r="B582" t="s">
        <v>756</v>
      </c>
    </row>
    <row r="583" spans="1:2" x14ac:dyDescent="0.55000000000000004">
      <c r="A583" t="s">
        <v>257</v>
      </c>
      <c r="B583" t="s">
        <v>756</v>
      </c>
    </row>
    <row r="584" spans="1:2" x14ac:dyDescent="0.55000000000000004">
      <c r="A584" t="s">
        <v>30</v>
      </c>
      <c r="B584" t="s">
        <v>756</v>
      </c>
    </row>
    <row r="585" spans="1:2" x14ac:dyDescent="0.55000000000000004">
      <c r="A585" t="s">
        <v>769</v>
      </c>
      <c r="B585" t="s">
        <v>756</v>
      </c>
    </row>
    <row r="586" spans="1:2" x14ac:dyDescent="0.55000000000000004">
      <c r="A586" t="s">
        <v>771</v>
      </c>
      <c r="B586" t="s">
        <v>756</v>
      </c>
    </row>
    <row r="587" spans="1:2" x14ac:dyDescent="0.55000000000000004">
      <c r="A587" t="s">
        <v>781</v>
      </c>
      <c r="B587" t="s">
        <v>756</v>
      </c>
    </row>
    <row r="588" spans="1:2" x14ac:dyDescent="0.55000000000000004">
      <c r="A588" t="s">
        <v>805</v>
      </c>
      <c r="B588" t="s">
        <v>756</v>
      </c>
    </row>
    <row r="589" spans="1:2" x14ac:dyDescent="0.55000000000000004">
      <c r="A589" t="s">
        <v>131</v>
      </c>
      <c r="B589" t="s">
        <v>767</v>
      </c>
    </row>
    <row r="590" spans="1:2" x14ac:dyDescent="0.55000000000000004">
      <c r="A590" t="s">
        <v>296</v>
      </c>
      <c r="B590" t="s">
        <v>767</v>
      </c>
    </row>
    <row r="591" spans="1:2" x14ac:dyDescent="0.55000000000000004">
      <c r="A591" t="s">
        <v>201</v>
      </c>
      <c r="B591" t="s">
        <v>767</v>
      </c>
    </row>
    <row r="592" spans="1:2" x14ac:dyDescent="0.55000000000000004">
      <c r="A592" t="s">
        <v>358</v>
      </c>
      <c r="B592" t="s">
        <v>767</v>
      </c>
    </row>
    <row r="593" spans="1:2" x14ac:dyDescent="0.55000000000000004">
      <c r="A593" t="s">
        <v>79</v>
      </c>
      <c r="B593" t="s">
        <v>767</v>
      </c>
    </row>
    <row r="594" spans="1:2" x14ac:dyDescent="0.55000000000000004">
      <c r="A594" t="s">
        <v>63</v>
      </c>
      <c r="B594" t="s">
        <v>767</v>
      </c>
    </row>
    <row r="595" spans="1:2" x14ac:dyDescent="0.55000000000000004">
      <c r="A595" t="s">
        <v>378</v>
      </c>
      <c r="B595" t="s">
        <v>767</v>
      </c>
    </row>
    <row r="596" spans="1:2" x14ac:dyDescent="0.55000000000000004">
      <c r="A596" t="s">
        <v>390</v>
      </c>
      <c r="B596" t="s">
        <v>767</v>
      </c>
    </row>
    <row r="597" spans="1:2" x14ac:dyDescent="0.55000000000000004">
      <c r="A597" t="s">
        <v>397</v>
      </c>
      <c r="B597" t="s">
        <v>767</v>
      </c>
    </row>
    <row r="598" spans="1:2" x14ac:dyDescent="0.55000000000000004">
      <c r="A598" t="s">
        <v>175</v>
      </c>
      <c r="B598" t="s">
        <v>767</v>
      </c>
    </row>
    <row r="599" spans="1:2" x14ac:dyDescent="0.55000000000000004">
      <c r="A599" t="s">
        <v>312</v>
      </c>
      <c r="B599" t="s">
        <v>767</v>
      </c>
    </row>
    <row r="600" spans="1:2" x14ac:dyDescent="0.55000000000000004">
      <c r="A600" t="s">
        <v>120</v>
      </c>
      <c r="B600" t="s">
        <v>767</v>
      </c>
    </row>
    <row r="601" spans="1:2" x14ac:dyDescent="0.55000000000000004">
      <c r="A601" t="s">
        <v>529</v>
      </c>
      <c r="B601" t="s">
        <v>767</v>
      </c>
    </row>
    <row r="602" spans="1:2" x14ac:dyDescent="0.55000000000000004">
      <c r="A602" t="s">
        <v>532</v>
      </c>
      <c r="B602" t="s">
        <v>767</v>
      </c>
    </row>
    <row r="603" spans="1:2" x14ac:dyDescent="0.55000000000000004">
      <c r="A603" t="s">
        <v>258</v>
      </c>
      <c r="B603" t="s">
        <v>767</v>
      </c>
    </row>
    <row r="604" spans="1:2" x14ac:dyDescent="0.55000000000000004">
      <c r="A604" t="s">
        <v>552</v>
      </c>
      <c r="B604" t="s">
        <v>767</v>
      </c>
    </row>
    <row r="605" spans="1:2" x14ac:dyDescent="0.55000000000000004">
      <c r="A605" t="s">
        <v>340</v>
      </c>
      <c r="B605" t="s">
        <v>767</v>
      </c>
    </row>
    <row r="606" spans="1:2" x14ac:dyDescent="0.55000000000000004">
      <c r="A606" t="s">
        <v>169</v>
      </c>
      <c r="B606" t="s">
        <v>767</v>
      </c>
    </row>
    <row r="607" spans="1:2" x14ac:dyDescent="0.55000000000000004">
      <c r="A607" t="s">
        <v>183</v>
      </c>
      <c r="B607" t="s">
        <v>767</v>
      </c>
    </row>
    <row r="608" spans="1:2" x14ac:dyDescent="0.55000000000000004">
      <c r="A608" t="s">
        <v>381</v>
      </c>
      <c r="B608" t="s">
        <v>767</v>
      </c>
    </row>
    <row r="609" spans="1:2" x14ac:dyDescent="0.55000000000000004">
      <c r="A609" t="s">
        <v>204</v>
      </c>
      <c r="B609" t="s">
        <v>767</v>
      </c>
    </row>
    <row r="610" spans="1:2" x14ac:dyDescent="0.55000000000000004">
      <c r="A610" t="s">
        <v>770</v>
      </c>
      <c r="B610" t="s">
        <v>767</v>
      </c>
    </row>
    <row r="611" spans="1:2" x14ac:dyDescent="0.55000000000000004">
      <c r="A611" t="s">
        <v>794</v>
      </c>
      <c r="B611" t="s">
        <v>767</v>
      </c>
    </row>
    <row r="612" spans="1:2" x14ac:dyDescent="0.55000000000000004">
      <c r="A612" t="s">
        <v>798</v>
      </c>
      <c r="B612" t="s">
        <v>767</v>
      </c>
    </row>
    <row r="613" spans="1:2" x14ac:dyDescent="0.55000000000000004">
      <c r="A613" t="s">
        <v>806</v>
      </c>
      <c r="B613" t="s">
        <v>767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8639-6C2D-4BA4-9833-76868C62CAB0}">
  <dimension ref="A1:F185"/>
  <sheetViews>
    <sheetView topLeftCell="A151" workbookViewId="0">
      <selection activeCell="B2" sqref="B2:B185"/>
    </sheetView>
  </sheetViews>
  <sheetFormatPr defaultRowHeight="14.4" x14ac:dyDescent="0.55000000000000004"/>
  <cols>
    <col min="1" max="1" width="19.47265625" bestFit="1" customWidth="1"/>
    <col min="2" max="2" width="18" bestFit="1" customWidth="1"/>
  </cols>
  <sheetData>
    <row r="1" spans="1:6" x14ac:dyDescent="0.55000000000000004">
      <c r="A1" t="s">
        <v>757</v>
      </c>
      <c r="B1" t="s">
        <v>758</v>
      </c>
    </row>
    <row r="2" spans="1:6" x14ac:dyDescent="0.55000000000000004">
      <c r="A2" t="s">
        <v>702</v>
      </c>
      <c r="B2" t="s">
        <v>828</v>
      </c>
      <c r="F2" t="str" cm="1">
        <f t="array" ref="F2:F17">_xlfn.UNIQUE(cities_state_pl[admin_name])</f>
        <v>Mazowieckie</v>
      </c>
    </row>
    <row r="3" spans="1:6" x14ac:dyDescent="0.55000000000000004">
      <c r="A3" t="s">
        <v>563</v>
      </c>
      <c r="B3" t="s">
        <v>829</v>
      </c>
      <c r="F3" t="str">
        <v>Małopolskie</v>
      </c>
    </row>
    <row r="4" spans="1:6" x14ac:dyDescent="0.55000000000000004">
      <c r="A4" t="s">
        <v>643</v>
      </c>
      <c r="B4" t="s">
        <v>830</v>
      </c>
      <c r="F4" t="str">
        <v>Dolnośląskie</v>
      </c>
    </row>
    <row r="5" spans="1:6" x14ac:dyDescent="0.55000000000000004">
      <c r="A5" t="s">
        <v>579</v>
      </c>
      <c r="B5" t="s">
        <v>831</v>
      </c>
      <c r="F5" t="str">
        <v>Łódzkie</v>
      </c>
    </row>
    <row r="6" spans="1:6" x14ac:dyDescent="0.55000000000000004">
      <c r="A6" t="s">
        <v>593</v>
      </c>
      <c r="B6" t="s">
        <v>832</v>
      </c>
      <c r="F6" t="str">
        <v>Wielkopolskie</v>
      </c>
    </row>
    <row r="7" spans="1:6" x14ac:dyDescent="0.55000000000000004">
      <c r="A7" t="s">
        <v>567</v>
      </c>
      <c r="B7" t="s">
        <v>833</v>
      </c>
      <c r="F7" t="str">
        <v>Pomorskie</v>
      </c>
    </row>
    <row r="8" spans="1:6" x14ac:dyDescent="0.55000000000000004">
      <c r="A8" t="s">
        <v>713</v>
      </c>
      <c r="B8" t="s">
        <v>834</v>
      </c>
      <c r="F8" t="str">
        <v>Zachodniopomorskie</v>
      </c>
    </row>
    <row r="9" spans="1:6" x14ac:dyDescent="0.55000000000000004">
      <c r="A9" t="s">
        <v>669</v>
      </c>
      <c r="B9" t="s">
        <v>835</v>
      </c>
      <c r="F9" t="str">
        <v>Kujawsko-Pomorskie</v>
      </c>
    </row>
    <row r="10" spans="1:6" x14ac:dyDescent="0.55000000000000004">
      <c r="A10" t="s">
        <v>554</v>
      </c>
      <c r="B10" t="s">
        <v>836</v>
      </c>
      <c r="F10" t="str">
        <v>Lubelskie</v>
      </c>
    </row>
    <row r="11" spans="1:6" x14ac:dyDescent="0.55000000000000004">
      <c r="A11" t="s">
        <v>620</v>
      </c>
      <c r="B11" t="s">
        <v>837</v>
      </c>
      <c r="F11" t="str">
        <v>Podlaskie</v>
      </c>
    </row>
    <row r="12" spans="1:6" x14ac:dyDescent="0.55000000000000004">
      <c r="A12" t="s">
        <v>740</v>
      </c>
      <c r="B12" t="s">
        <v>838</v>
      </c>
      <c r="F12" t="str">
        <v>Śląskie</v>
      </c>
    </row>
    <row r="13" spans="1:6" x14ac:dyDescent="0.55000000000000004">
      <c r="A13" t="s">
        <v>684</v>
      </c>
      <c r="B13" t="s">
        <v>833</v>
      </c>
      <c r="F13" t="str">
        <v>Lubuskie</v>
      </c>
    </row>
    <row r="14" spans="1:6" x14ac:dyDescent="0.55000000000000004">
      <c r="A14" t="s">
        <v>688</v>
      </c>
      <c r="B14" t="s">
        <v>839</v>
      </c>
      <c r="F14" t="str">
        <v>Podkarpackie</v>
      </c>
    </row>
    <row r="15" spans="1:6" x14ac:dyDescent="0.55000000000000004">
      <c r="A15" t="s">
        <v>590</v>
      </c>
      <c r="B15" t="s">
        <v>838</v>
      </c>
      <c r="F15" t="str">
        <v>Świętokrzyskie</v>
      </c>
    </row>
    <row r="16" spans="1:6" x14ac:dyDescent="0.55000000000000004">
      <c r="A16" t="s">
        <v>566</v>
      </c>
      <c r="B16" t="s">
        <v>828</v>
      </c>
      <c r="F16" t="str">
        <v>Warmińsko-Mazurskie</v>
      </c>
    </row>
    <row r="17" spans="1:6" x14ac:dyDescent="0.55000000000000004">
      <c r="A17" t="s">
        <v>687</v>
      </c>
      <c r="B17" t="s">
        <v>835</v>
      </c>
      <c r="F17" t="str">
        <v>Opolskie</v>
      </c>
    </row>
    <row r="18" spans="1:6" x14ac:dyDescent="0.55000000000000004">
      <c r="A18" t="s">
        <v>580</v>
      </c>
      <c r="B18" t="s">
        <v>840</v>
      </c>
    </row>
    <row r="19" spans="1:6" x14ac:dyDescent="0.55000000000000004">
      <c r="A19" t="s">
        <v>662</v>
      </c>
      <c r="B19" t="s">
        <v>838</v>
      </c>
    </row>
    <row r="20" spans="1:6" x14ac:dyDescent="0.55000000000000004">
      <c r="A20" t="s">
        <v>655</v>
      </c>
      <c r="B20" t="s">
        <v>841</v>
      </c>
    </row>
    <row r="21" spans="1:6" x14ac:dyDescent="0.55000000000000004">
      <c r="A21" t="s">
        <v>630</v>
      </c>
      <c r="B21" t="s">
        <v>838</v>
      </c>
    </row>
    <row r="22" spans="1:6" x14ac:dyDescent="0.55000000000000004">
      <c r="A22" t="s">
        <v>558</v>
      </c>
      <c r="B22" t="s">
        <v>842</v>
      </c>
    </row>
    <row r="23" spans="1:6" x14ac:dyDescent="0.55000000000000004">
      <c r="A23" t="s">
        <v>587</v>
      </c>
      <c r="B23" t="s">
        <v>838</v>
      </c>
    </row>
    <row r="24" spans="1:6" x14ac:dyDescent="0.55000000000000004">
      <c r="A24" t="s">
        <v>710</v>
      </c>
      <c r="B24" t="s">
        <v>838</v>
      </c>
    </row>
    <row r="25" spans="1:6" x14ac:dyDescent="0.55000000000000004">
      <c r="A25" t="s">
        <v>714</v>
      </c>
      <c r="B25" t="s">
        <v>838</v>
      </c>
    </row>
    <row r="26" spans="1:6" x14ac:dyDescent="0.55000000000000004">
      <c r="A26" t="s">
        <v>672</v>
      </c>
      <c r="B26" t="s">
        <v>838</v>
      </c>
    </row>
    <row r="27" spans="1:6" x14ac:dyDescent="0.55000000000000004">
      <c r="A27" t="s">
        <v>556</v>
      </c>
      <c r="B27" t="s">
        <v>838</v>
      </c>
    </row>
    <row r="28" spans="1:6" x14ac:dyDescent="0.55000000000000004">
      <c r="A28" t="s">
        <v>626</v>
      </c>
      <c r="B28" t="s">
        <v>843</v>
      </c>
    </row>
    <row r="29" spans="1:6" x14ac:dyDescent="0.55000000000000004">
      <c r="A29" t="s">
        <v>738</v>
      </c>
      <c r="B29" t="s">
        <v>838</v>
      </c>
    </row>
    <row r="30" spans="1:6" x14ac:dyDescent="0.55000000000000004">
      <c r="A30" t="s">
        <v>604</v>
      </c>
      <c r="B30" t="s">
        <v>839</v>
      </c>
    </row>
    <row r="31" spans="1:6" x14ac:dyDescent="0.55000000000000004">
      <c r="A31" t="s">
        <v>622</v>
      </c>
      <c r="B31" t="s">
        <v>838</v>
      </c>
    </row>
    <row r="32" spans="1:6" x14ac:dyDescent="0.55000000000000004">
      <c r="A32" t="s">
        <v>594</v>
      </c>
      <c r="B32" t="s">
        <v>842</v>
      </c>
    </row>
    <row r="33" spans="1:2" x14ac:dyDescent="0.55000000000000004">
      <c r="A33" t="s">
        <v>718</v>
      </c>
      <c r="B33" t="s">
        <v>828</v>
      </c>
    </row>
    <row r="34" spans="1:2" x14ac:dyDescent="0.55000000000000004">
      <c r="A34" t="s">
        <v>719</v>
      </c>
      <c r="B34" t="s">
        <v>829</v>
      </c>
    </row>
    <row r="35" spans="1:2" x14ac:dyDescent="0.55000000000000004">
      <c r="A35" t="s">
        <v>695</v>
      </c>
      <c r="B35" t="s">
        <v>834</v>
      </c>
    </row>
    <row r="36" spans="1:2" x14ac:dyDescent="0.55000000000000004">
      <c r="A36" t="s">
        <v>649</v>
      </c>
      <c r="B36" t="s">
        <v>835</v>
      </c>
    </row>
    <row r="37" spans="1:2" x14ac:dyDescent="0.55000000000000004">
      <c r="A37" t="s">
        <v>715</v>
      </c>
      <c r="B37" t="s">
        <v>830</v>
      </c>
    </row>
    <row r="38" spans="1:2" x14ac:dyDescent="0.55000000000000004">
      <c r="A38" t="s">
        <v>598</v>
      </c>
      <c r="B38" t="s">
        <v>838</v>
      </c>
    </row>
    <row r="39" spans="1:2" x14ac:dyDescent="0.55000000000000004">
      <c r="A39" t="s">
        <v>717</v>
      </c>
      <c r="B39" t="s">
        <v>832</v>
      </c>
    </row>
    <row r="40" spans="1:2" x14ac:dyDescent="0.55000000000000004">
      <c r="A40" t="s">
        <v>744</v>
      </c>
      <c r="B40" t="s">
        <v>830</v>
      </c>
    </row>
    <row r="41" spans="1:2" x14ac:dyDescent="0.55000000000000004">
      <c r="A41" t="s">
        <v>844</v>
      </c>
      <c r="B41" t="s">
        <v>829</v>
      </c>
    </row>
    <row r="42" spans="1:2" x14ac:dyDescent="0.55000000000000004">
      <c r="A42" t="s">
        <v>749</v>
      </c>
      <c r="B42" t="s">
        <v>838</v>
      </c>
    </row>
    <row r="43" spans="1:2" x14ac:dyDescent="0.55000000000000004">
      <c r="A43" t="s">
        <v>845</v>
      </c>
      <c r="B43" t="s">
        <v>832</v>
      </c>
    </row>
    <row r="44" spans="1:2" x14ac:dyDescent="0.55000000000000004">
      <c r="A44" t="s">
        <v>846</v>
      </c>
      <c r="B44" t="s">
        <v>830</v>
      </c>
    </row>
    <row r="45" spans="1:2" x14ac:dyDescent="0.55000000000000004">
      <c r="A45" t="s">
        <v>560</v>
      </c>
      <c r="B45" t="s">
        <v>835</v>
      </c>
    </row>
    <row r="46" spans="1:2" x14ac:dyDescent="0.55000000000000004">
      <c r="A46" t="s">
        <v>847</v>
      </c>
      <c r="B46" t="s">
        <v>834</v>
      </c>
    </row>
    <row r="47" spans="1:2" x14ac:dyDescent="0.55000000000000004">
      <c r="A47" t="s">
        <v>678</v>
      </c>
      <c r="B47" t="s">
        <v>832</v>
      </c>
    </row>
    <row r="48" spans="1:2" x14ac:dyDescent="0.55000000000000004">
      <c r="A48" t="s">
        <v>709</v>
      </c>
      <c r="B48" t="s">
        <v>828</v>
      </c>
    </row>
    <row r="49" spans="1:2" x14ac:dyDescent="0.55000000000000004">
      <c r="A49" t="s">
        <v>671</v>
      </c>
      <c r="B49" t="s">
        <v>841</v>
      </c>
    </row>
    <row r="50" spans="1:2" x14ac:dyDescent="0.55000000000000004">
      <c r="A50" t="s">
        <v>848</v>
      </c>
      <c r="B50" t="s">
        <v>838</v>
      </c>
    </row>
    <row r="51" spans="1:2" x14ac:dyDescent="0.55000000000000004">
      <c r="A51" t="s">
        <v>849</v>
      </c>
      <c r="B51" t="s">
        <v>830</v>
      </c>
    </row>
    <row r="52" spans="1:2" x14ac:dyDescent="0.55000000000000004">
      <c r="A52" t="s">
        <v>722</v>
      </c>
      <c r="B52" t="s">
        <v>831</v>
      </c>
    </row>
    <row r="53" spans="1:2" x14ac:dyDescent="0.55000000000000004">
      <c r="A53" t="s">
        <v>850</v>
      </c>
      <c r="B53" t="s">
        <v>832</v>
      </c>
    </row>
    <row r="54" spans="1:2" x14ac:dyDescent="0.55000000000000004">
      <c r="A54" t="s">
        <v>635</v>
      </c>
      <c r="B54" t="s">
        <v>842</v>
      </c>
    </row>
    <row r="55" spans="1:2" x14ac:dyDescent="0.55000000000000004">
      <c r="A55" t="s">
        <v>851</v>
      </c>
      <c r="B55" t="s">
        <v>836</v>
      </c>
    </row>
    <row r="56" spans="1:2" x14ac:dyDescent="0.55000000000000004">
      <c r="A56" t="s">
        <v>711</v>
      </c>
      <c r="B56" t="s">
        <v>836</v>
      </c>
    </row>
    <row r="57" spans="1:2" x14ac:dyDescent="0.55000000000000004">
      <c r="A57" t="s">
        <v>852</v>
      </c>
      <c r="B57" t="s">
        <v>831</v>
      </c>
    </row>
    <row r="58" spans="1:2" x14ac:dyDescent="0.55000000000000004">
      <c r="A58" t="s">
        <v>691</v>
      </c>
      <c r="B58" t="s">
        <v>840</v>
      </c>
    </row>
    <row r="59" spans="1:2" x14ac:dyDescent="0.55000000000000004">
      <c r="A59" t="s">
        <v>853</v>
      </c>
      <c r="B59" t="s">
        <v>833</v>
      </c>
    </row>
    <row r="60" spans="1:2" x14ac:dyDescent="0.55000000000000004">
      <c r="A60" t="s">
        <v>854</v>
      </c>
      <c r="B60" t="s">
        <v>838</v>
      </c>
    </row>
    <row r="61" spans="1:2" x14ac:dyDescent="0.55000000000000004">
      <c r="A61" t="s">
        <v>855</v>
      </c>
      <c r="B61" t="s">
        <v>831</v>
      </c>
    </row>
    <row r="62" spans="1:2" x14ac:dyDescent="0.55000000000000004">
      <c r="A62" t="s">
        <v>577</v>
      </c>
      <c r="B62" t="s">
        <v>830</v>
      </c>
    </row>
    <row r="63" spans="1:2" x14ac:dyDescent="0.55000000000000004">
      <c r="A63" t="s">
        <v>591</v>
      </c>
      <c r="B63" t="s">
        <v>831</v>
      </c>
    </row>
    <row r="64" spans="1:2" x14ac:dyDescent="0.55000000000000004">
      <c r="A64" t="s">
        <v>856</v>
      </c>
      <c r="B64" t="s">
        <v>828</v>
      </c>
    </row>
    <row r="65" spans="1:2" x14ac:dyDescent="0.55000000000000004">
      <c r="A65" t="s">
        <v>857</v>
      </c>
      <c r="B65" t="s">
        <v>838</v>
      </c>
    </row>
    <row r="66" spans="1:2" x14ac:dyDescent="0.55000000000000004">
      <c r="A66" t="s">
        <v>640</v>
      </c>
      <c r="B66" t="s">
        <v>833</v>
      </c>
    </row>
    <row r="67" spans="1:2" x14ac:dyDescent="0.55000000000000004">
      <c r="A67" t="s">
        <v>658</v>
      </c>
      <c r="B67" t="s">
        <v>828</v>
      </c>
    </row>
    <row r="68" spans="1:2" x14ac:dyDescent="0.55000000000000004">
      <c r="A68" t="s">
        <v>858</v>
      </c>
      <c r="B68" t="s">
        <v>833</v>
      </c>
    </row>
    <row r="69" spans="1:2" x14ac:dyDescent="0.55000000000000004">
      <c r="A69" t="s">
        <v>859</v>
      </c>
      <c r="B69" t="s">
        <v>838</v>
      </c>
    </row>
    <row r="70" spans="1:2" x14ac:dyDescent="0.55000000000000004">
      <c r="A70" t="s">
        <v>726</v>
      </c>
      <c r="B70" t="s">
        <v>833</v>
      </c>
    </row>
    <row r="71" spans="1:2" x14ac:dyDescent="0.55000000000000004">
      <c r="A71" t="s">
        <v>860</v>
      </c>
      <c r="B71" t="s">
        <v>841</v>
      </c>
    </row>
    <row r="72" spans="1:2" x14ac:dyDescent="0.55000000000000004">
      <c r="A72" t="s">
        <v>667</v>
      </c>
      <c r="B72" t="s">
        <v>834</v>
      </c>
    </row>
    <row r="73" spans="1:2" x14ac:dyDescent="0.55000000000000004">
      <c r="A73" t="s">
        <v>861</v>
      </c>
      <c r="B73" t="s">
        <v>840</v>
      </c>
    </row>
    <row r="74" spans="1:2" x14ac:dyDescent="0.55000000000000004">
      <c r="A74" t="s">
        <v>862</v>
      </c>
      <c r="B74" t="s">
        <v>828</v>
      </c>
    </row>
    <row r="75" spans="1:2" x14ac:dyDescent="0.55000000000000004">
      <c r="A75" t="s">
        <v>863</v>
      </c>
      <c r="B75" t="s">
        <v>828</v>
      </c>
    </row>
    <row r="76" spans="1:2" x14ac:dyDescent="0.55000000000000004">
      <c r="A76" t="s">
        <v>864</v>
      </c>
      <c r="B76" t="s">
        <v>828</v>
      </c>
    </row>
    <row r="77" spans="1:2" x14ac:dyDescent="0.55000000000000004">
      <c r="A77" t="s">
        <v>865</v>
      </c>
      <c r="B77" t="s">
        <v>828</v>
      </c>
    </row>
    <row r="78" spans="1:2" x14ac:dyDescent="0.55000000000000004">
      <c r="A78" t="s">
        <v>866</v>
      </c>
      <c r="B78" t="s">
        <v>833</v>
      </c>
    </row>
    <row r="79" spans="1:2" x14ac:dyDescent="0.55000000000000004">
      <c r="A79" t="s">
        <v>582</v>
      </c>
      <c r="B79" t="s">
        <v>836</v>
      </c>
    </row>
    <row r="80" spans="1:2" x14ac:dyDescent="0.55000000000000004">
      <c r="A80" t="s">
        <v>668</v>
      </c>
      <c r="B80" t="s">
        <v>833</v>
      </c>
    </row>
    <row r="81" spans="1:2" x14ac:dyDescent="0.55000000000000004">
      <c r="A81" t="s">
        <v>692</v>
      </c>
      <c r="B81" t="s">
        <v>833</v>
      </c>
    </row>
    <row r="82" spans="1:2" x14ac:dyDescent="0.55000000000000004">
      <c r="A82" t="s">
        <v>576</v>
      </c>
      <c r="B82" t="s">
        <v>830</v>
      </c>
    </row>
    <row r="83" spans="1:2" x14ac:dyDescent="0.55000000000000004">
      <c r="A83" t="s">
        <v>661</v>
      </c>
      <c r="B83" t="s">
        <v>829</v>
      </c>
    </row>
    <row r="84" spans="1:2" x14ac:dyDescent="0.55000000000000004">
      <c r="A84" t="s">
        <v>657</v>
      </c>
      <c r="B84" t="s">
        <v>839</v>
      </c>
    </row>
    <row r="85" spans="1:2" x14ac:dyDescent="0.55000000000000004">
      <c r="A85" t="s">
        <v>867</v>
      </c>
      <c r="B85" t="s">
        <v>838</v>
      </c>
    </row>
    <row r="86" spans="1:2" x14ac:dyDescent="0.55000000000000004">
      <c r="A86" t="s">
        <v>868</v>
      </c>
      <c r="B86" t="s">
        <v>828</v>
      </c>
    </row>
    <row r="87" spans="1:2" x14ac:dyDescent="0.55000000000000004">
      <c r="A87" t="s">
        <v>728</v>
      </c>
      <c r="B87" t="s">
        <v>839</v>
      </c>
    </row>
    <row r="88" spans="1:2" x14ac:dyDescent="0.55000000000000004">
      <c r="A88" t="s">
        <v>869</v>
      </c>
      <c r="B88" t="s">
        <v>830</v>
      </c>
    </row>
    <row r="89" spans="1:2" x14ac:dyDescent="0.55000000000000004">
      <c r="A89" t="s">
        <v>870</v>
      </c>
      <c r="B89" t="s">
        <v>838</v>
      </c>
    </row>
    <row r="90" spans="1:2" x14ac:dyDescent="0.55000000000000004">
      <c r="A90" t="s">
        <v>700</v>
      </c>
      <c r="B90" t="s">
        <v>833</v>
      </c>
    </row>
    <row r="91" spans="1:2" x14ac:dyDescent="0.55000000000000004">
      <c r="A91" t="s">
        <v>584</v>
      </c>
      <c r="B91" t="s">
        <v>843</v>
      </c>
    </row>
    <row r="92" spans="1:2" x14ac:dyDescent="0.55000000000000004">
      <c r="A92" t="s">
        <v>871</v>
      </c>
      <c r="B92" t="s">
        <v>828</v>
      </c>
    </row>
    <row r="93" spans="1:2" x14ac:dyDescent="0.55000000000000004">
      <c r="A93" t="s">
        <v>872</v>
      </c>
      <c r="B93" t="s">
        <v>829</v>
      </c>
    </row>
    <row r="94" spans="1:2" x14ac:dyDescent="0.55000000000000004">
      <c r="A94" t="s">
        <v>631</v>
      </c>
      <c r="B94" t="s">
        <v>838</v>
      </c>
    </row>
    <row r="95" spans="1:2" x14ac:dyDescent="0.55000000000000004">
      <c r="A95" t="s">
        <v>873</v>
      </c>
      <c r="B95" t="s">
        <v>830</v>
      </c>
    </row>
    <row r="96" spans="1:2" x14ac:dyDescent="0.55000000000000004">
      <c r="A96" t="s">
        <v>614</v>
      </c>
      <c r="B96" t="s">
        <v>832</v>
      </c>
    </row>
    <row r="97" spans="1:2" x14ac:dyDescent="0.55000000000000004">
      <c r="A97" t="s">
        <v>611</v>
      </c>
      <c r="B97" t="s">
        <v>833</v>
      </c>
    </row>
    <row r="98" spans="1:2" x14ac:dyDescent="0.55000000000000004">
      <c r="A98" t="s">
        <v>874</v>
      </c>
      <c r="B98" t="s">
        <v>842</v>
      </c>
    </row>
    <row r="99" spans="1:2" x14ac:dyDescent="0.55000000000000004">
      <c r="A99" t="s">
        <v>875</v>
      </c>
      <c r="B99" t="s">
        <v>836</v>
      </c>
    </row>
    <row r="100" spans="1:2" x14ac:dyDescent="0.55000000000000004">
      <c r="A100" t="s">
        <v>876</v>
      </c>
      <c r="B100" t="s">
        <v>830</v>
      </c>
    </row>
    <row r="101" spans="1:2" x14ac:dyDescent="0.55000000000000004">
      <c r="A101" t="s">
        <v>877</v>
      </c>
      <c r="B101" t="s">
        <v>833</v>
      </c>
    </row>
    <row r="102" spans="1:2" x14ac:dyDescent="0.55000000000000004">
      <c r="A102" t="s">
        <v>557</v>
      </c>
      <c r="B102" t="s">
        <v>838</v>
      </c>
    </row>
    <row r="103" spans="1:2" x14ac:dyDescent="0.55000000000000004">
      <c r="A103" t="s">
        <v>878</v>
      </c>
      <c r="B103" t="s">
        <v>836</v>
      </c>
    </row>
    <row r="104" spans="1:2" x14ac:dyDescent="0.55000000000000004">
      <c r="A104" t="s">
        <v>647</v>
      </c>
      <c r="B104" t="s">
        <v>830</v>
      </c>
    </row>
    <row r="105" spans="1:2" x14ac:dyDescent="0.55000000000000004">
      <c r="A105" t="s">
        <v>879</v>
      </c>
      <c r="B105" t="s">
        <v>835</v>
      </c>
    </row>
    <row r="106" spans="1:2" x14ac:dyDescent="0.55000000000000004">
      <c r="A106" t="s">
        <v>880</v>
      </c>
      <c r="B106" t="s">
        <v>842</v>
      </c>
    </row>
    <row r="107" spans="1:2" x14ac:dyDescent="0.55000000000000004">
      <c r="A107" t="s">
        <v>680</v>
      </c>
      <c r="B107" t="s">
        <v>828</v>
      </c>
    </row>
    <row r="108" spans="1:2" x14ac:dyDescent="0.55000000000000004">
      <c r="A108" t="s">
        <v>881</v>
      </c>
      <c r="B108" t="s">
        <v>831</v>
      </c>
    </row>
    <row r="109" spans="1:2" x14ac:dyDescent="0.55000000000000004">
      <c r="A109" t="s">
        <v>666</v>
      </c>
      <c r="B109" t="s">
        <v>829</v>
      </c>
    </row>
    <row r="110" spans="1:2" x14ac:dyDescent="0.55000000000000004">
      <c r="A110" t="s">
        <v>720</v>
      </c>
      <c r="B110" t="s">
        <v>842</v>
      </c>
    </row>
    <row r="111" spans="1:2" x14ac:dyDescent="0.55000000000000004">
      <c r="A111" t="s">
        <v>882</v>
      </c>
      <c r="B111" t="s">
        <v>838</v>
      </c>
    </row>
    <row r="112" spans="1:2" x14ac:dyDescent="0.55000000000000004">
      <c r="A112" t="s">
        <v>570</v>
      </c>
      <c r="B112" t="s">
        <v>832</v>
      </c>
    </row>
    <row r="113" spans="1:2" x14ac:dyDescent="0.55000000000000004">
      <c r="A113" t="s">
        <v>574</v>
      </c>
      <c r="B113" t="s">
        <v>836</v>
      </c>
    </row>
    <row r="114" spans="1:2" x14ac:dyDescent="0.55000000000000004">
      <c r="A114" t="s">
        <v>883</v>
      </c>
      <c r="B114" t="s">
        <v>832</v>
      </c>
    </row>
    <row r="115" spans="1:2" x14ac:dyDescent="0.55000000000000004">
      <c r="A115" t="s">
        <v>884</v>
      </c>
      <c r="B115" t="s">
        <v>829</v>
      </c>
    </row>
    <row r="116" spans="1:2" x14ac:dyDescent="0.55000000000000004">
      <c r="A116" t="s">
        <v>654</v>
      </c>
      <c r="B116" t="s">
        <v>832</v>
      </c>
    </row>
    <row r="117" spans="1:2" x14ac:dyDescent="0.55000000000000004">
      <c r="A117" t="s">
        <v>885</v>
      </c>
      <c r="B117" t="s">
        <v>833</v>
      </c>
    </row>
    <row r="118" spans="1:2" x14ac:dyDescent="0.55000000000000004">
      <c r="A118" t="s">
        <v>578</v>
      </c>
      <c r="B118" t="s">
        <v>828</v>
      </c>
    </row>
    <row r="119" spans="1:2" x14ac:dyDescent="0.55000000000000004">
      <c r="A119" t="s">
        <v>618</v>
      </c>
      <c r="B119" t="s">
        <v>842</v>
      </c>
    </row>
    <row r="120" spans="1:2" x14ac:dyDescent="0.55000000000000004">
      <c r="A120" t="s">
        <v>886</v>
      </c>
      <c r="B120" t="s">
        <v>842</v>
      </c>
    </row>
    <row r="121" spans="1:2" x14ac:dyDescent="0.55000000000000004">
      <c r="A121" t="s">
        <v>887</v>
      </c>
      <c r="B121" t="s">
        <v>828</v>
      </c>
    </row>
    <row r="122" spans="1:2" x14ac:dyDescent="0.55000000000000004">
      <c r="A122" t="s">
        <v>653</v>
      </c>
      <c r="B122" t="s">
        <v>830</v>
      </c>
    </row>
    <row r="123" spans="1:2" x14ac:dyDescent="0.55000000000000004">
      <c r="A123" t="s">
        <v>888</v>
      </c>
      <c r="B123" t="s">
        <v>837</v>
      </c>
    </row>
    <row r="124" spans="1:2" x14ac:dyDescent="0.55000000000000004">
      <c r="A124" t="s">
        <v>889</v>
      </c>
      <c r="B124" t="s">
        <v>837</v>
      </c>
    </row>
    <row r="125" spans="1:2" x14ac:dyDescent="0.55000000000000004">
      <c r="A125" t="s">
        <v>890</v>
      </c>
      <c r="B125" t="s">
        <v>842</v>
      </c>
    </row>
    <row r="126" spans="1:2" x14ac:dyDescent="0.55000000000000004">
      <c r="A126" t="s">
        <v>891</v>
      </c>
      <c r="B126" t="s">
        <v>828</v>
      </c>
    </row>
    <row r="127" spans="1:2" x14ac:dyDescent="0.55000000000000004">
      <c r="A127" t="s">
        <v>892</v>
      </c>
      <c r="B127" t="s">
        <v>842</v>
      </c>
    </row>
    <row r="128" spans="1:2" x14ac:dyDescent="0.55000000000000004">
      <c r="A128" t="s">
        <v>696</v>
      </c>
      <c r="B128" t="s">
        <v>836</v>
      </c>
    </row>
    <row r="129" spans="1:2" x14ac:dyDescent="0.55000000000000004">
      <c r="A129" t="s">
        <v>893</v>
      </c>
      <c r="B129" t="s">
        <v>832</v>
      </c>
    </row>
    <row r="130" spans="1:2" x14ac:dyDescent="0.55000000000000004">
      <c r="A130" t="s">
        <v>894</v>
      </c>
      <c r="B130" t="s">
        <v>830</v>
      </c>
    </row>
    <row r="131" spans="1:2" x14ac:dyDescent="0.55000000000000004">
      <c r="A131" t="s">
        <v>633</v>
      </c>
      <c r="B131" t="s">
        <v>835</v>
      </c>
    </row>
    <row r="132" spans="1:2" x14ac:dyDescent="0.55000000000000004">
      <c r="A132" t="s">
        <v>895</v>
      </c>
      <c r="B132" t="s">
        <v>832</v>
      </c>
    </row>
    <row r="133" spans="1:2" x14ac:dyDescent="0.55000000000000004">
      <c r="A133" t="s">
        <v>896</v>
      </c>
      <c r="B133" t="s">
        <v>831</v>
      </c>
    </row>
    <row r="134" spans="1:2" x14ac:dyDescent="0.55000000000000004">
      <c r="A134" t="s">
        <v>897</v>
      </c>
      <c r="B134" t="s">
        <v>836</v>
      </c>
    </row>
    <row r="135" spans="1:2" x14ac:dyDescent="0.55000000000000004">
      <c r="A135" t="s">
        <v>898</v>
      </c>
      <c r="B135" t="s">
        <v>838</v>
      </c>
    </row>
    <row r="136" spans="1:2" x14ac:dyDescent="0.55000000000000004">
      <c r="A136" t="s">
        <v>899</v>
      </c>
      <c r="B136" t="s">
        <v>828</v>
      </c>
    </row>
    <row r="137" spans="1:2" x14ac:dyDescent="0.55000000000000004">
      <c r="A137" t="s">
        <v>900</v>
      </c>
      <c r="B137" t="s">
        <v>832</v>
      </c>
    </row>
    <row r="138" spans="1:2" x14ac:dyDescent="0.55000000000000004">
      <c r="A138" t="s">
        <v>901</v>
      </c>
      <c r="B138" t="s">
        <v>833</v>
      </c>
    </row>
    <row r="139" spans="1:2" x14ac:dyDescent="0.55000000000000004">
      <c r="A139" t="s">
        <v>733</v>
      </c>
      <c r="B139" t="s">
        <v>840</v>
      </c>
    </row>
    <row r="140" spans="1:2" x14ac:dyDescent="0.55000000000000004">
      <c r="A140" t="s">
        <v>902</v>
      </c>
      <c r="B140" t="s">
        <v>838</v>
      </c>
    </row>
    <row r="141" spans="1:2" x14ac:dyDescent="0.55000000000000004">
      <c r="A141" t="s">
        <v>617</v>
      </c>
      <c r="B141" t="s">
        <v>828</v>
      </c>
    </row>
    <row r="142" spans="1:2" x14ac:dyDescent="0.55000000000000004">
      <c r="A142" t="s">
        <v>629</v>
      </c>
      <c r="B142" t="s">
        <v>842</v>
      </c>
    </row>
    <row r="143" spans="1:2" x14ac:dyDescent="0.55000000000000004">
      <c r="A143" t="s">
        <v>736</v>
      </c>
      <c r="B143" t="s">
        <v>831</v>
      </c>
    </row>
    <row r="144" spans="1:2" x14ac:dyDescent="0.55000000000000004">
      <c r="A144" t="s">
        <v>903</v>
      </c>
      <c r="B144" t="s">
        <v>838</v>
      </c>
    </row>
    <row r="145" spans="1:2" x14ac:dyDescent="0.55000000000000004">
      <c r="A145" t="s">
        <v>904</v>
      </c>
      <c r="B145" t="s">
        <v>833</v>
      </c>
    </row>
    <row r="146" spans="1:2" x14ac:dyDescent="0.55000000000000004">
      <c r="A146" t="s">
        <v>707</v>
      </c>
      <c r="B146" t="s">
        <v>835</v>
      </c>
    </row>
    <row r="147" spans="1:2" x14ac:dyDescent="0.55000000000000004">
      <c r="A147" t="s">
        <v>905</v>
      </c>
      <c r="B147" t="s">
        <v>842</v>
      </c>
    </row>
    <row r="148" spans="1:2" x14ac:dyDescent="0.55000000000000004">
      <c r="A148" t="s">
        <v>572</v>
      </c>
      <c r="B148" t="s">
        <v>830</v>
      </c>
    </row>
    <row r="149" spans="1:2" x14ac:dyDescent="0.55000000000000004">
      <c r="A149" t="s">
        <v>705</v>
      </c>
      <c r="B149" t="s">
        <v>833</v>
      </c>
    </row>
    <row r="150" spans="1:2" x14ac:dyDescent="0.55000000000000004">
      <c r="A150" t="s">
        <v>906</v>
      </c>
      <c r="B150" t="s">
        <v>830</v>
      </c>
    </row>
    <row r="151" spans="1:2" x14ac:dyDescent="0.55000000000000004">
      <c r="A151" t="s">
        <v>592</v>
      </c>
      <c r="B151" t="s">
        <v>835</v>
      </c>
    </row>
    <row r="152" spans="1:2" x14ac:dyDescent="0.55000000000000004">
      <c r="A152" t="s">
        <v>907</v>
      </c>
      <c r="B152" t="s">
        <v>835</v>
      </c>
    </row>
    <row r="153" spans="1:2" x14ac:dyDescent="0.55000000000000004">
      <c r="A153" t="s">
        <v>600</v>
      </c>
      <c r="B153" t="s">
        <v>831</v>
      </c>
    </row>
    <row r="154" spans="1:2" x14ac:dyDescent="0.55000000000000004">
      <c r="A154" t="s">
        <v>908</v>
      </c>
      <c r="B154" t="s">
        <v>838</v>
      </c>
    </row>
    <row r="155" spans="1:2" x14ac:dyDescent="0.55000000000000004">
      <c r="A155" t="s">
        <v>909</v>
      </c>
      <c r="B155" t="s">
        <v>832</v>
      </c>
    </row>
    <row r="156" spans="1:2" x14ac:dyDescent="0.55000000000000004">
      <c r="A156" t="s">
        <v>601</v>
      </c>
      <c r="B156" t="s">
        <v>833</v>
      </c>
    </row>
    <row r="157" spans="1:2" x14ac:dyDescent="0.55000000000000004">
      <c r="A157" t="s">
        <v>910</v>
      </c>
      <c r="B157" t="s">
        <v>835</v>
      </c>
    </row>
    <row r="158" spans="1:2" x14ac:dyDescent="0.55000000000000004">
      <c r="A158" t="s">
        <v>911</v>
      </c>
      <c r="B158" t="s">
        <v>833</v>
      </c>
    </row>
    <row r="159" spans="1:2" x14ac:dyDescent="0.55000000000000004">
      <c r="A159" t="s">
        <v>616</v>
      </c>
      <c r="B159" t="s">
        <v>830</v>
      </c>
    </row>
    <row r="160" spans="1:2" x14ac:dyDescent="0.55000000000000004">
      <c r="A160" t="s">
        <v>912</v>
      </c>
      <c r="B160" t="s">
        <v>838</v>
      </c>
    </row>
    <row r="161" spans="1:2" x14ac:dyDescent="0.55000000000000004">
      <c r="A161" t="s">
        <v>913</v>
      </c>
      <c r="B161" t="s">
        <v>838</v>
      </c>
    </row>
    <row r="162" spans="1:2" x14ac:dyDescent="0.55000000000000004">
      <c r="A162" t="s">
        <v>914</v>
      </c>
      <c r="B162" t="s">
        <v>835</v>
      </c>
    </row>
    <row r="163" spans="1:2" x14ac:dyDescent="0.55000000000000004">
      <c r="A163" t="s">
        <v>915</v>
      </c>
      <c r="B163" t="s">
        <v>835</v>
      </c>
    </row>
    <row r="164" spans="1:2" x14ac:dyDescent="0.55000000000000004">
      <c r="A164" t="s">
        <v>916</v>
      </c>
      <c r="B164" t="s">
        <v>833</v>
      </c>
    </row>
    <row r="165" spans="1:2" x14ac:dyDescent="0.55000000000000004">
      <c r="A165" t="s">
        <v>917</v>
      </c>
      <c r="B165" t="s">
        <v>833</v>
      </c>
    </row>
    <row r="166" spans="1:2" x14ac:dyDescent="0.55000000000000004">
      <c r="A166" t="s">
        <v>918</v>
      </c>
      <c r="B166" t="s">
        <v>832</v>
      </c>
    </row>
    <row r="167" spans="1:2" x14ac:dyDescent="0.55000000000000004">
      <c r="A167" t="s">
        <v>919</v>
      </c>
      <c r="B167" t="s">
        <v>838</v>
      </c>
    </row>
    <row r="168" spans="1:2" x14ac:dyDescent="0.55000000000000004">
      <c r="A168" t="s">
        <v>920</v>
      </c>
      <c r="B168" t="s">
        <v>838</v>
      </c>
    </row>
    <row r="169" spans="1:2" x14ac:dyDescent="0.55000000000000004">
      <c r="A169" t="s">
        <v>921</v>
      </c>
      <c r="B169" t="s">
        <v>838</v>
      </c>
    </row>
    <row r="170" spans="1:2" x14ac:dyDescent="0.55000000000000004">
      <c r="A170" t="s">
        <v>922</v>
      </c>
      <c r="B170" t="s">
        <v>831</v>
      </c>
    </row>
    <row r="171" spans="1:2" x14ac:dyDescent="0.55000000000000004">
      <c r="A171" t="s">
        <v>923</v>
      </c>
      <c r="B171" t="s">
        <v>829</v>
      </c>
    </row>
    <row r="172" spans="1:2" x14ac:dyDescent="0.55000000000000004">
      <c r="A172" t="s">
        <v>924</v>
      </c>
      <c r="B172" t="s">
        <v>838</v>
      </c>
    </row>
    <row r="173" spans="1:2" x14ac:dyDescent="0.55000000000000004">
      <c r="A173" t="s">
        <v>925</v>
      </c>
      <c r="B173" t="s">
        <v>837</v>
      </c>
    </row>
    <row r="174" spans="1:2" x14ac:dyDescent="0.55000000000000004">
      <c r="A174" t="s">
        <v>926</v>
      </c>
      <c r="B174" t="s">
        <v>828</v>
      </c>
    </row>
    <row r="175" spans="1:2" x14ac:dyDescent="0.55000000000000004">
      <c r="A175" t="s">
        <v>927</v>
      </c>
      <c r="B175" t="s">
        <v>842</v>
      </c>
    </row>
    <row r="176" spans="1:2" x14ac:dyDescent="0.55000000000000004">
      <c r="A176" t="s">
        <v>928</v>
      </c>
      <c r="B176" t="s">
        <v>829</v>
      </c>
    </row>
    <row r="177" spans="1:2" x14ac:dyDescent="0.55000000000000004">
      <c r="A177" t="s">
        <v>929</v>
      </c>
      <c r="B177" t="s">
        <v>829</v>
      </c>
    </row>
    <row r="178" spans="1:2" x14ac:dyDescent="0.55000000000000004">
      <c r="A178" t="s">
        <v>930</v>
      </c>
      <c r="B178" t="s">
        <v>829</v>
      </c>
    </row>
    <row r="179" spans="1:2" x14ac:dyDescent="0.55000000000000004">
      <c r="A179" t="s">
        <v>931</v>
      </c>
      <c r="B179" t="s">
        <v>831</v>
      </c>
    </row>
    <row r="180" spans="1:2" x14ac:dyDescent="0.55000000000000004">
      <c r="A180" t="s">
        <v>932</v>
      </c>
      <c r="B180" t="s">
        <v>829</v>
      </c>
    </row>
    <row r="181" spans="1:2" x14ac:dyDescent="0.55000000000000004">
      <c r="A181" t="s">
        <v>933</v>
      </c>
      <c r="B181" t="s">
        <v>838</v>
      </c>
    </row>
    <row r="182" spans="1:2" x14ac:dyDescent="0.55000000000000004">
      <c r="A182" t="s">
        <v>934</v>
      </c>
      <c r="B182" t="s">
        <v>840</v>
      </c>
    </row>
    <row r="183" spans="1:2" x14ac:dyDescent="0.55000000000000004">
      <c r="A183" t="s">
        <v>935</v>
      </c>
      <c r="B183" t="s">
        <v>829</v>
      </c>
    </row>
    <row r="184" spans="1:2" x14ac:dyDescent="0.55000000000000004">
      <c r="A184" t="s">
        <v>936</v>
      </c>
      <c r="B184" t="s">
        <v>828</v>
      </c>
    </row>
    <row r="185" spans="1:2" x14ac:dyDescent="0.55000000000000004">
      <c r="A185" t="s">
        <v>937</v>
      </c>
      <c r="B185" t="s">
        <v>842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94B7-5416-43B2-A524-2A845CAC55FB}">
  <dimension ref="A1:K907"/>
  <sheetViews>
    <sheetView workbookViewId="0">
      <selection activeCell="B2" sqref="B2:B907"/>
    </sheetView>
  </sheetViews>
  <sheetFormatPr defaultRowHeight="14.4" x14ac:dyDescent="0.55000000000000004"/>
  <cols>
    <col min="2" max="2" width="22.1015625" customWidth="1"/>
    <col min="7" max="7" width="18" bestFit="1" customWidth="1"/>
    <col min="8" max="8" width="15.20703125" customWidth="1"/>
  </cols>
  <sheetData>
    <row r="1" spans="1:11" x14ac:dyDescent="0.55000000000000004">
      <c r="A1" t="s">
        <v>757</v>
      </c>
      <c r="B1" t="s">
        <v>758</v>
      </c>
      <c r="C1" t="s">
        <v>938</v>
      </c>
    </row>
    <row r="2" spans="1:11" x14ac:dyDescent="0.55000000000000004">
      <c r="A2" t="s">
        <v>160</v>
      </c>
      <c r="B2" t="s">
        <v>754</v>
      </c>
      <c r="C2" t="s">
        <v>759</v>
      </c>
      <c r="G2" t="s">
        <v>828</v>
      </c>
      <c r="H2" t="s">
        <v>961</v>
      </c>
      <c r="K2" t="str">
        <f>_xlfn.XLOOKUP(Table9[[#This Row],[admin_name]],$G$2:$G$33,$H$2:$H$33, Table9[[#This Row],[admin_name]])</f>
        <v>Baden-Württemberg</v>
      </c>
    </row>
    <row r="3" spans="1:11" x14ac:dyDescent="0.55000000000000004">
      <c r="A3" t="s">
        <v>265</v>
      </c>
      <c r="B3" t="s">
        <v>754</v>
      </c>
      <c r="C3" t="s">
        <v>759</v>
      </c>
      <c r="G3" t="s">
        <v>829</v>
      </c>
      <c r="H3" t="s">
        <v>941</v>
      </c>
      <c r="K3" t="str">
        <f>_xlfn.XLOOKUP(Table9[[#This Row],[admin_name]],$G$2:$G$33,$H$2:$H$33, Table9[[#This Row],[admin_name]])</f>
        <v>Baden-Württemberg</v>
      </c>
    </row>
    <row r="4" spans="1:11" x14ac:dyDescent="0.55000000000000004">
      <c r="A4" t="s">
        <v>58</v>
      </c>
      <c r="B4" t="s">
        <v>754</v>
      </c>
      <c r="C4" t="s">
        <v>759</v>
      </c>
      <c r="G4" t="s">
        <v>830</v>
      </c>
      <c r="H4" t="s">
        <v>942</v>
      </c>
      <c r="K4" t="str">
        <f>_xlfn.XLOOKUP(Table9[[#This Row],[admin_name]],$G$2:$G$33,$H$2:$H$33, Table9[[#This Row],[admin_name]])</f>
        <v>Baden-Württemberg</v>
      </c>
    </row>
    <row r="5" spans="1:11" x14ac:dyDescent="0.55000000000000004">
      <c r="A5" t="s">
        <v>434</v>
      </c>
      <c r="B5" t="s">
        <v>754</v>
      </c>
      <c r="C5" t="s">
        <v>759</v>
      </c>
      <c r="G5" t="s">
        <v>831</v>
      </c>
      <c r="H5" t="s">
        <v>579</v>
      </c>
      <c r="K5" t="str">
        <f>_xlfn.XLOOKUP(Table9[[#This Row],[admin_name]],$G$2:$G$33,$H$2:$H$33, Table9[[#This Row],[admin_name]])</f>
        <v>Baden-Württemberg</v>
      </c>
    </row>
    <row r="6" spans="1:11" x14ac:dyDescent="0.55000000000000004">
      <c r="A6" t="s">
        <v>11</v>
      </c>
      <c r="B6" t="s">
        <v>754</v>
      </c>
      <c r="C6" t="s">
        <v>759</v>
      </c>
      <c r="G6" t="s">
        <v>832</v>
      </c>
      <c r="H6" t="s">
        <v>943</v>
      </c>
      <c r="K6" t="str">
        <f>_xlfn.XLOOKUP(Table9[[#This Row],[admin_name]],$G$2:$G$33,$H$2:$H$33, Table9[[#This Row],[admin_name]])</f>
        <v>Baden-Württemberg</v>
      </c>
    </row>
    <row r="7" spans="1:11" x14ac:dyDescent="0.55000000000000004">
      <c r="A7" t="s">
        <v>281</v>
      </c>
      <c r="B7" t="s">
        <v>754</v>
      </c>
      <c r="C7" t="s">
        <v>759</v>
      </c>
      <c r="G7" t="s">
        <v>833</v>
      </c>
      <c r="H7" t="s">
        <v>944</v>
      </c>
      <c r="K7" t="str">
        <f>_xlfn.XLOOKUP(Table9[[#This Row],[admin_name]],$G$2:$G$33,$H$2:$H$33, Table9[[#This Row],[admin_name]])</f>
        <v>Baden-Württemberg</v>
      </c>
    </row>
    <row r="8" spans="1:11" x14ac:dyDescent="0.55000000000000004">
      <c r="A8" t="s">
        <v>505</v>
      </c>
      <c r="B8" t="s">
        <v>754</v>
      </c>
      <c r="C8" t="s">
        <v>759</v>
      </c>
      <c r="G8" t="s">
        <v>834</v>
      </c>
      <c r="H8" t="s">
        <v>945</v>
      </c>
      <c r="K8" t="str">
        <f>_xlfn.XLOOKUP(Table9[[#This Row],[admin_name]],$G$2:$G$33,$H$2:$H$33, Table9[[#This Row],[admin_name]])</f>
        <v>Baden-Württemberg</v>
      </c>
    </row>
    <row r="9" spans="1:11" x14ac:dyDescent="0.55000000000000004">
      <c r="A9" t="s">
        <v>220</v>
      </c>
      <c r="B9" t="s">
        <v>754</v>
      </c>
      <c r="C9" t="s">
        <v>759</v>
      </c>
      <c r="G9" t="s">
        <v>835</v>
      </c>
      <c r="H9" t="s">
        <v>946</v>
      </c>
      <c r="K9" t="str">
        <f>_xlfn.XLOOKUP(Table9[[#This Row],[admin_name]],$G$2:$G$33,$H$2:$H$33, Table9[[#This Row],[admin_name]])</f>
        <v>Baden-Württemberg</v>
      </c>
    </row>
    <row r="10" spans="1:11" x14ac:dyDescent="0.55000000000000004">
      <c r="A10" t="s">
        <v>487</v>
      </c>
      <c r="B10" t="s">
        <v>754</v>
      </c>
      <c r="C10" t="s">
        <v>759</v>
      </c>
      <c r="G10" t="s">
        <v>836</v>
      </c>
      <c r="H10" t="s">
        <v>554</v>
      </c>
      <c r="K10" t="str">
        <f>_xlfn.XLOOKUP(Table9[[#This Row],[admin_name]],$G$2:$G$33,$H$2:$H$33, Table9[[#This Row],[admin_name]])</f>
        <v>Baden-Württemberg</v>
      </c>
    </row>
    <row r="11" spans="1:11" x14ac:dyDescent="0.55000000000000004">
      <c r="A11" t="s">
        <v>544</v>
      </c>
      <c r="B11" t="s">
        <v>754</v>
      </c>
      <c r="C11" t="s">
        <v>759</v>
      </c>
      <c r="G11" t="s">
        <v>837</v>
      </c>
      <c r="H11" t="s">
        <v>962</v>
      </c>
      <c r="K11" t="str">
        <f>_xlfn.XLOOKUP(Table9[[#This Row],[admin_name]],$G$2:$G$33,$H$2:$H$33, Table9[[#This Row],[admin_name]])</f>
        <v>Baden-Württemberg</v>
      </c>
    </row>
    <row r="12" spans="1:11" x14ac:dyDescent="0.55000000000000004">
      <c r="A12" t="s">
        <v>406</v>
      </c>
      <c r="B12" t="s">
        <v>754</v>
      </c>
      <c r="C12" t="s">
        <v>759</v>
      </c>
      <c r="G12" t="s">
        <v>838</v>
      </c>
      <c r="H12" t="s">
        <v>948</v>
      </c>
      <c r="K12" t="str">
        <f>_xlfn.XLOOKUP(Table9[[#This Row],[admin_name]],$G$2:$G$33,$H$2:$H$33, Table9[[#This Row],[admin_name]])</f>
        <v>Baden-Württemberg</v>
      </c>
    </row>
    <row r="13" spans="1:11" x14ac:dyDescent="0.55000000000000004">
      <c r="A13" t="s">
        <v>64</v>
      </c>
      <c r="B13" t="s">
        <v>754</v>
      </c>
      <c r="C13" t="s">
        <v>759</v>
      </c>
      <c r="G13" t="s">
        <v>839</v>
      </c>
      <c r="H13" t="s">
        <v>949</v>
      </c>
      <c r="K13" t="str">
        <f>_xlfn.XLOOKUP(Table9[[#This Row],[admin_name]],$G$2:$G$33,$H$2:$H$33, Table9[[#This Row],[admin_name]])</f>
        <v>Baden-Württemberg</v>
      </c>
    </row>
    <row r="14" spans="1:11" x14ac:dyDescent="0.55000000000000004">
      <c r="A14" t="s">
        <v>417</v>
      </c>
      <c r="B14" t="s">
        <v>754</v>
      </c>
      <c r="C14" t="s">
        <v>759</v>
      </c>
      <c r="G14" t="s">
        <v>840</v>
      </c>
      <c r="H14" t="s">
        <v>951</v>
      </c>
      <c r="K14" t="str">
        <f>_xlfn.XLOOKUP(Table9[[#This Row],[admin_name]],$G$2:$G$33,$H$2:$H$33, Table9[[#This Row],[admin_name]])</f>
        <v>Baden-Württemberg</v>
      </c>
    </row>
    <row r="15" spans="1:11" x14ac:dyDescent="0.55000000000000004">
      <c r="A15" t="s">
        <v>318</v>
      </c>
      <c r="B15" t="s">
        <v>754</v>
      </c>
      <c r="C15" t="s">
        <v>759</v>
      </c>
      <c r="G15" t="s">
        <v>841</v>
      </c>
      <c r="H15" t="s">
        <v>841</v>
      </c>
      <c r="K15" t="str">
        <f>_xlfn.XLOOKUP(Table9[[#This Row],[admin_name]],$G$2:$G$33,$H$2:$H$33, Table9[[#This Row],[admin_name]])</f>
        <v>Baden-Württemberg</v>
      </c>
    </row>
    <row r="16" spans="1:11" x14ac:dyDescent="0.55000000000000004">
      <c r="A16" t="s">
        <v>338</v>
      </c>
      <c r="B16" t="s">
        <v>754</v>
      </c>
      <c r="C16" t="s">
        <v>759</v>
      </c>
      <c r="G16" t="s">
        <v>842</v>
      </c>
      <c r="H16" t="s">
        <v>950</v>
      </c>
      <c r="K16" t="str">
        <f>_xlfn.XLOOKUP(Table9[[#This Row],[admin_name]],$G$2:$G$33,$H$2:$H$33, Table9[[#This Row],[admin_name]])</f>
        <v>Baden-Württemberg</v>
      </c>
    </row>
    <row r="17" spans="1:11" x14ac:dyDescent="0.55000000000000004">
      <c r="A17" t="s">
        <v>259</v>
      </c>
      <c r="B17" t="s">
        <v>754</v>
      </c>
      <c r="C17" t="s">
        <v>759</v>
      </c>
      <c r="G17" t="s">
        <v>843</v>
      </c>
      <c r="H17" t="s">
        <v>626</v>
      </c>
      <c r="K17" t="str">
        <f>_xlfn.XLOOKUP(Table9[[#This Row],[admin_name]],$G$2:$G$33,$H$2:$H$33, Table9[[#This Row],[admin_name]])</f>
        <v>Baden-Württemberg</v>
      </c>
    </row>
    <row r="18" spans="1:11" x14ac:dyDescent="0.55000000000000004">
      <c r="A18" t="s">
        <v>456</v>
      </c>
      <c r="B18" t="s">
        <v>754</v>
      </c>
      <c r="C18" t="s">
        <v>759</v>
      </c>
      <c r="G18" t="s">
        <v>754</v>
      </c>
      <c r="H18" t="s">
        <v>754</v>
      </c>
      <c r="K18" t="str">
        <f>_xlfn.XLOOKUP(Table9[[#This Row],[admin_name]],$G$2:$G$33,$H$2:$H$33, Table9[[#This Row],[admin_name]])</f>
        <v>Baden-Württemberg</v>
      </c>
    </row>
    <row r="19" spans="1:11" x14ac:dyDescent="0.55000000000000004">
      <c r="A19" t="s">
        <v>475</v>
      </c>
      <c r="B19" t="s">
        <v>754</v>
      </c>
      <c r="C19" t="s">
        <v>759</v>
      </c>
      <c r="G19" t="s">
        <v>760</v>
      </c>
      <c r="H19" t="s">
        <v>952</v>
      </c>
      <c r="K19" t="str">
        <f>_xlfn.XLOOKUP(Table9[[#This Row],[admin_name]],$G$2:$G$33,$H$2:$H$33, Table9[[#This Row],[admin_name]])</f>
        <v>Baden-Württemberg</v>
      </c>
    </row>
    <row r="20" spans="1:11" x14ac:dyDescent="0.55000000000000004">
      <c r="A20" t="s">
        <v>478</v>
      </c>
      <c r="B20" t="s">
        <v>754</v>
      </c>
      <c r="C20" t="s">
        <v>759</v>
      </c>
      <c r="G20" t="s">
        <v>536</v>
      </c>
      <c r="H20" t="s">
        <v>536</v>
      </c>
      <c r="K20" t="str">
        <f>_xlfn.XLOOKUP(Table9[[#This Row],[admin_name]],$G$2:$G$33,$H$2:$H$33, Table9[[#This Row],[admin_name]])</f>
        <v>Baden-Württemberg</v>
      </c>
    </row>
    <row r="21" spans="1:11" x14ac:dyDescent="0.55000000000000004">
      <c r="A21" t="s">
        <v>527</v>
      </c>
      <c r="B21" t="s">
        <v>754</v>
      </c>
      <c r="C21" t="s">
        <v>759</v>
      </c>
      <c r="G21" t="s">
        <v>486</v>
      </c>
      <c r="H21" t="s">
        <v>486</v>
      </c>
      <c r="K21" t="str">
        <f>_xlfn.XLOOKUP(Table9[[#This Row],[admin_name]],$G$2:$G$33,$H$2:$H$33, Table9[[#This Row],[admin_name]])</f>
        <v>Baden-Württemberg</v>
      </c>
    </row>
    <row r="22" spans="1:11" x14ac:dyDescent="0.55000000000000004">
      <c r="A22" t="s">
        <v>145</v>
      </c>
      <c r="B22" t="s">
        <v>754</v>
      </c>
      <c r="C22" t="s">
        <v>759</v>
      </c>
      <c r="G22" t="s">
        <v>538</v>
      </c>
      <c r="H22" t="s">
        <v>538</v>
      </c>
      <c r="K22" t="str">
        <f>_xlfn.XLOOKUP(Table9[[#This Row],[admin_name]],$G$2:$G$33,$H$2:$H$33, Table9[[#This Row],[admin_name]])</f>
        <v>Baden-Württemberg</v>
      </c>
    </row>
    <row r="23" spans="1:11" x14ac:dyDescent="0.55000000000000004">
      <c r="A23" t="s">
        <v>243</v>
      </c>
      <c r="B23" t="s">
        <v>754</v>
      </c>
      <c r="C23" t="s">
        <v>759</v>
      </c>
      <c r="G23" t="s">
        <v>13</v>
      </c>
      <c r="H23" t="s">
        <v>13</v>
      </c>
      <c r="K23" t="str">
        <f>_xlfn.XLOOKUP(Table9[[#This Row],[admin_name]],$G$2:$G$33,$H$2:$H$33, Table9[[#This Row],[admin_name]])</f>
        <v>Baden-Württemberg</v>
      </c>
    </row>
    <row r="24" spans="1:11" x14ac:dyDescent="0.55000000000000004">
      <c r="A24" t="s">
        <v>236</v>
      </c>
      <c r="B24" t="s">
        <v>754</v>
      </c>
      <c r="C24" t="s">
        <v>759</v>
      </c>
      <c r="G24" t="s">
        <v>762</v>
      </c>
      <c r="H24" t="s">
        <v>953</v>
      </c>
      <c r="K24" t="str">
        <f>_xlfn.XLOOKUP(Table9[[#This Row],[admin_name]],$G$2:$G$33,$H$2:$H$33, Table9[[#This Row],[admin_name]])</f>
        <v>Baden-Württemberg</v>
      </c>
    </row>
    <row r="25" spans="1:11" x14ac:dyDescent="0.55000000000000004">
      <c r="A25" t="s">
        <v>316</v>
      </c>
      <c r="B25" t="s">
        <v>754</v>
      </c>
      <c r="C25" t="s">
        <v>759</v>
      </c>
      <c r="G25" t="s">
        <v>764</v>
      </c>
      <c r="H25" t="s">
        <v>954</v>
      </c>
      <c r="K25" t="str">
        <f>_xlfn.XLOOKUP(Table9[[#This Row],[admin_name]],$G$2:$G$33,$H$2:$H$33, Table9[[#This Row],[admin_name]])</f>
        <v>Baden-Württemberg</v>
      </c>
    </row>
    <row r="26" spans="1:11" x14ac:dyDescent="0.55000000000000004">
      <c r="A26" t="s">
        <v>112</v>
      </c>
      <c r="B26" t="s">
        <v>754</v>
      </c>
      <c r="C26" t="s">
        <v>759</v>
      </c>
      <c r="G26" t="s">
        <v>766</v>
      </c>
      <c r="H26" t="s">
        <v>955</v>
      </c>
      <c r="K26" t="str">
        <f>_xlfn.XLOOKUP(Table9[[#This Row],[admin_name]],$G$2:$G$33,$H$2:$H$33, Table9[[#This Row],[admin_name]])</f>
        <v>Baden-Württemberg</v>
      </c>
    </row>
    <row r="27" spans="1:11" x14ac:dyDescent="0.55000000000000004">
      <c r="A27" t="s">
        <v>424</v>
      </c>
      <c r="B27" t="s">
        <v>754</v>
      </c>
      <c r="C27" t="s">
        <v>759</v>
      </c>
      <c r="G27" t="s">
        <v>761</v>
      </c>
      <c r="H27" t="s">
        <v>956</v>
      </c>
      <c r="K27" t="str">
        <f>_xlfn.XLOOKUP(Table9[[#This Row],[admin_name]],$G$2:$G$33,$H$2:$H$33, Table9[[#This Row],[admin_name]])</f>
        <v>Baden-Württemberg</v>
      </c>
    </row>
    <row r="28" spans="1:11" x14ac:dyDescent="0.55000000000000004">
      <c r="A28" t="s">
        <v>444</v>
      </c>
      <c r="B28" t="s">
        <v>754</v>
      </c>
      <c r="C28" t="s">
        <v>759</v>
      </c>
      <c r="G28" t="s">
        <v>768</v>
      </c>
      <c r="H28" t="s">
        <v>957</v>
      </c>
      <c r="K28" t="str">
        <f>_xlfn.XLOOKUP(Table9[[#This Row],[admin_name]],$G$2:$G$33,$H$2:$H$33, Table9[[#This Row],[admin_name]])</f>
        <v>Baden-Württemberg</v>
      </c>
    </row>
    <row r="29" spans="1:11" x14ac:dyDescent="0.55000000000000004">
      <c r="A29" t="s">
        <v>395</v>
      </c>
      <c r="B29" t="s">
        <v>754</v>
      </c>
      <c r="C29" t="s">
        <v>759</v>
      </c>
      <c r="G29" t="s">
        <v>755</v>
      </c>
      <c r="H29" t="s">
        <v>755</v>
      </c>
      <c r="K29" t="str">
        <f>_xlfn.XLOOKUP(Table9[[#This Row],[admin_name]],$G$2:$G$33,$H$2:$H$33, Table9[[#This Row],[admin_name]])</f>
        <v>Baden-Württemberg</v>
      </c>
    </row>
    <row r="30" spans="1:11" x14ac:dyDescent="0.55000000000000004">
      <c r="A30" t="s">
        <v>240</v>
      </c>
      <c r="B30" t="s">
        <v>754</v>
      </c>
      <c r="C30" t="s">
        <v>759</v>
      </c>
      <c r="G30" t="s">
        <v>763</v>
      </c>
      <c r="H30" t="s">
        <v>958</v>
      </c>
      <c r="K30" t="str">
        <f>_xlfn.XLOOKUP(Table9[[#This Row],[admin_name]],$G$2:$G$33,$H$2:$H$33, Table9[[#This Row],[admin_name]])</f>
        <v>Baden-Württemberg</v>
      </c>
    </row>
    <row r="31" spans="1:11" x14ac:dyDescent="0.55000000000000004">
      <c r="A31" t="s">
        <v>138</v>
      </c>
      <c r="B31" t="s">
        <v>754</v>
      </c>
      <c r="C31" t="s">
        <v>759</v>
      </c>
      <c r="G31" t="s">
        <v>765</v>
      </c>
      <c r="H31" t="s">
        <v>959</v>
      </c>
      <c r="K31" t="str">
        <f>_xlfn.XLOOKUP(Table9[[#This Row],[admin_name]],$G$2:$G$33,$H$2:$H$33, Table9[[#This Row],[admin_name]])</f>
        <v>Baden-Württemberg</v>
      </c>
    </row>
    <row r="32" spans="1:11" x14ac:dyDescent="0.55000000000000004">
      <c r="A32" t="s">
        <v>114</v>
      </c>
      <c r="B32" t="s">
        <v>754</v>
      </c>
      <c r="C32" t="s">
        <v>759</v>
      </c>
      <c r="G32" t="s">
        <v>756</v>
      </c>
      <c r="H32" t="s">
        <v>756</v>
      </c>
      <c r="K32" t="str">
        <f>_xlfn.XLOOKUP(Table9[[#This Row],[admin_name]],$G$2:$G$33,$H$2:$H$33, Table9[[#This Row],[admin_name]])</f>
        <v>Baden-Württemberg</v>
      </c>
    </row>
    <row r="33" spans="1:11" x14ac:dyDescent="0.55000000000000004">
      <c r="A33" t="s">
        <v>239</v>
      </c>
      <c r="B33" t="s">
        <v>754</v>
      </c>
      <c r="C33" t="s">
        <v>759</v>
      </c>
      <c r="G33" t="s">
        <v>767</v>
      </c>
      <c r="H33" t="s">
        <v>960</v>
      </c>
      <c r="K33" t="str">
        <f>_xlfn.XLOOKUP(Table9[[#This Row],[admin_name]],$G$2:$G$33,$H$2:$H$33, Table9[[#This Row],[admin_name]])</f>
        <v>Baden-Württemberg</v>
      </c>
    </row>
    <row r="34" spans="1:11" x14ac:dyDescent="0.55000000000000004">
      <c r="A34" t="s">
        <v>399</v>
      </c>
      <c r="B34" t="s">
        <v>754</v>
      </c>
      <c r="C34" t="s">
        <v>759</v>
      </c>
      <c r="K34" t="str">
        <f>_xlfn.XLOOKUP(Table9[[#This Row],[admin_name]],$G$2:$G$33,$H$2:$H$33, Table9[[#This Row],[admin_name]])</f>
        <v>Baden-Württemberg</v>
      </c>
    </row>
    <row r="35" spans="1:11" x14ac:dyDescent="0.55000000000000004">
      <c r="A35" t="s">
        <v>94</v>
      </c>
      <c r="B35" t="s">
        <v>754</v>
      </c>
      <c r="C35" t="s">
        <v>759</v>
      </c>
      <c r="K35" t="str">
        <f>_xlfn.XLOOKUP(Table9[[#This Row],[admin_name]],$G$2:$G$33,$H$2:$H$33, Table9[[#This Row],[admin_name]])</f>
        <v>Baden-Württemberg</v>
      </c>
    </row>
    <row r="36" spans="1:11" x14ac:dyDescent="0.55000000000000004">
      <c r="A36" t="s">
        <v>152</v>
      </c>
      <c r="B36" t="s">
        <v>754</v>
      </c>
      <c r="C36" t="s">
        <v>759</v>
      </c>
      <c r="K36" t="str">
        <f>_xlfn.XLOOKUP(Table9[[#This Row],[admin_name]],$G$2:$G$33,$H$2:$H$33, Table9[[#This Row],[admin_name]])</f>
        <v>Baden-Württemberg</v>
      </c>
    </row>
    <row r="37" spans="1:11" x14ac:dyDescent="0.55000000000000004">
      <c r="A37" t="s">
        <v>437</v>
      </c>
      <c r="B37" t="s">
        <v>754</v>
      </c>
      <c r="C37" t="s">
        <v>759</v>
      </c>
      <c r="K37" t="str">
        <f>_xlfn.XLOOKUP(Table9[[#This Row],[admin_name]],$G$2:$G$33,$H$2:$H$33, Table9[[#This Row],[admin_name]])</f>
        <v>Baden-Württemberg</v>
      </c>
    </row>
    <row r="38" spans="1:11" x14ac:dyDescent="0.55000000000000004">
      <c r="A38" t="s">
        <v>222</v>
      </c>
      <c r="B38" t="s">
        <v>754</v>
      </c>
      <c r="C38" t="s">
        <v>759</v>
      </c>
      <c r="K38" t="str">
        <f>_xlfn.XLOOKUP(Table9[[#This Row],[admin_name]],$G$2:$G$33,$H$2:$H$33, Table9[[#This Row],[admin_name]])</f>
        <v>Baden-Württemberg</v>
      </c>
    </row>
    <row r="39" spans="1:11" x14ac:dyDescent="0.55000000000000004">
      <c r="A39" t="s">
        <v>193</v>
      </c>
      <c r="B39" t="s">
        <v>754</v>
      </c>
      <c r="C39" t="s">
        <v>759</v>
      </c>
      <c r="K39" t="str">
        <f>_xlfn.XLOOKUP(Table9[[#This Row],[admin_name]],$G$2:$G$33,$H$2:$H$33, Table9[[#This Row],[admin_name]])</f>
        <v>Baden-Württemberg</v>
      </c>
    </row>
    <row r="40" spans="1:11" x14ac:dyDescent="0.55000000000000004">
      <c r="A40" t="s">
        <v>255</v>
      </c>
      <c r="B40" t="s">
        <v>754</v>
      </c>
      <c r="C40" t="s">
        <v>759</v>
      </c>
      <c r="K40" t="str">
        <f>_xlfn.XLOOKUP(Table9[[#This Row],[admin_name]],$G$2:$G$33,$H$2:$H$33, Table9[[#This Row],[admin_name]])</f>
        <v>Baden-Württemberg</v>
      </c>
    </row>
    <row r="41" spans="1:11" x14ac:dyDescent="0.55000000000000004">
      <c r="A41" t="s">
        <v>35</v>
      </c>
      <c r="B41" t="s">
        <v>754</v>
      </c>
      <c r="C41" t="s">
        <v>759</v>
      </c>
      <c r="K41" t="str">
        <f>_xlfn.XLOOKUP(Table9[[#This Row],[admin_name]],$G$2:$G$33,$H$2:$H$33, Table9[[#This Row],[admin_name]])</f>
        <v>Baden-Württemberg</v>
      </c>
    </row>
    <row r="42" spans="1:11" x14ac:dyDescent="0.55000000000000004">
      <c r="A42" t="s">
        <v>504</v>
      </c>
      <c r="B42" t="s">
        <v>754</v>
      </c>
      <c r="C42" t="s">
        <v>759</v>
      </c>
      <c r="K42" t="str">
        <f>_xlfn.XLOOKUP(Table9[[#This Row],[admin_name]],$G$2:$G$33,$H$2:$H$33, Table9[[#This Row],[admin_name]])</f>
        <v>Baden-Württemberg</v>
      </c>
    </row>
    <row r="43" spans="1:11" x14ac:dyDescent="0.55000000000000004">
      <c r="A43" t="s">
        <v>6</v>
      </c>
      <c r="B43" t="s">
        <v>754</v>
      </c>
      <c r="C43" t="s">
        <v>759</v>
      </c>
      <c r="K43" t="str">
        <f>_xlfn.XLOOKUP(Table9[[#This Row],[admin_name]],$G$2:$G$33,$H$2:$H$33, Table9[[#This Row],[admin_name]])</f>
        <v>Baden-Württemberg</v>
      </c>
    </row>
    <row r="44" spans="1:11" x14ac:dyDescent="0.55000000000000004">
      <c r="A44" t="s">
        <v>149</v>
      </c>
      <c r="B44" t="s">
        <v>754</v>
      </c>
      <c r="C44" t="s">
        <v>759</v>
      </c>
      <c r="K44" t="str">
        <f>_xlfn.XLOOKUP(Table9[[#This Row],[admin_name]],$G$2:$G$33,$H$2:$H$33, Table9[[#This Row],[admin_name]])</f>
        <v>Baden-Württemberg</v>
      </c>
    </row>
    <row r="45" spans="1:11" x14ac:dyDescent="0.55000000000000004">
      <c r="A45" t="s">
        <v>105</v>
      </c>
      <c r="B45" t="s">
        <v>754</v>
      </c>
      <c r="C45" t="s">
        <v>759</v>
      </c>
      <c r="K45" t="str">
        <f>_xlfn.XLOOKUP(Table9[[#This Row],[admin_name]],$G$2:$G$33,$H$2:$H$33, Table9[[#This Row],[admin_name]])</f>
        <v>Baden-Württemberg</v>
      </c>
    </row>
    <row r="46" spans="1:11" x14ac:dyDescent="0.55000000000000004">
      <c r="A46" t="s">
        <v>124</v>
      </c>
      <c r="B46" t="s">
        <v>754</v>
      </c>
      <c r="C46" t="s">
        <v>759</v>
      </c>
      <c r="K46" t="str">
        <f>_xlfn.XLOOKUP(Table9[[#This Row],[admin_name]],$G$2:$G$33,$H$2:$H$33, Table9[[#This Row],[admin_name]])</f>
        <v>Baden-Württemberg</v>
      </c>
    </row>
    <row r="47" spans="1:11" x14ac:dyDescent="0.55000000000000004">
      <c r="A47" t="s">
        <v>305</v>
      </c>
      <c r="B47" t="s">
        <v>754</v>
      </c>
      <c r="C47" t="s">
        <v>759</v>
      </c>
      <c r="K47" t="str">
        <f>_xlfn.XLOOKUP(Table9[[#This Row],[admin_name]],$G$2:$G$33,$H$2:$H$33, Table9[[#This Row],[admin_name]])</f>
        <v>Baden-Württemberg</v>
      </c>
    </row>
    <row r="48" spans="1:11" x14ac:dyDescent="0.55000000000000004">
      <c r="A48" t="s">
        <v>386</v>
      </c>
      <c r="B48" t="s">
        <v>754</v>
      </c>
      <c r="C48" t="s">
        <v>759</v>
      </c>
      <c r="K48" t="str">
        <f>_xlfn.XLOOKUP(Table9[[#This Row],[admin_name]],$G$2:$G$33,$H$2:$H$33, Table9[[#This Row],[admin_name]])</f>
        <v>Baden-Württemberg</v>
      </c>
    </row>
    <row r="49" spans="1:11" x14ac:dyDescent="0.55000000000000004">
      <c r="A49" t="s">
        <v>202</v>
      </c>
      <c r="B49" t="s">
        <v>754</v>
      </c>
      <c r="C49" t="s">
        <v>759</v>
      </c>
      <c r="K49" t="str">
        <f>_xlfn.XLOOKUP(Table9[[#This Row],[admin_name]],$G$2:$G$33,$H$2:$H$33, Table9[[#This Row],[admin_name]])</f>
        <v>Baden-Württemberg</v>
      </c>
    </row>
    <row r="50" spans="1:11" x14ac:dyDescent="0.55000000000000004">
      <c r="A50" t="s">
        <v>411</v>
      </c>
      <c r="B50" t="s">
        <v>754</v>
      </c>
      <c r="C50" t="s">
        <v>759</v>
      </c>
      <c r="K50" t="str">
        <f>_xlfn.XLOOKUP(Table9[[#This Row],[admin_name]],$G$2:$G$33,$H$2:$H$33, Table9[[#This Row],[admin_name]])</f>
        <v>Baden-Württemberg</v>
      </c>
    </row>
    <row r="51" spans="1:11" x14ac:dyDescent="0.55000000000000004">
      <c r="A51" t="s">
        <v>48</v>
      </c>
      <c r="B51" t="s">
        <v>754</v>
      </c>
      <c r="C51" t="s">
        <v>759</v>
      </c>
      <c r="K51" t="str">
        <f>_xlfn.XLOOKUP(Table9[[#This Row],[admin_name]],$G$2:$G$33,$H$2:$H$33, Table9[[#This Row],[admin_name]])</f>
        <v>Baden-Württemberg</v>
      </c>
    </row>
    <row r="52" spans="1:11" x14ac:dyDescent="0.55000000000000004">
      <c r="A52" t="s">
        <v>197</v>
      </c>
      <c r="B52" t="s">
        <v>754</v>
      </c>
      <c r="C52" t="s">
        <v>759</v>
      </c>
      <c r="K52" t="str">
        <f>_xlfn.XLOOKUP(Table9[[#This Row],[admin_name]],$G$2:$G$33,$H$2:$H$33, Table9[[#This Row],[admin_name]])</f>
        <v>Baden-Württemberg</v>
      </c>
    </row>
    <row r="53" spans="1:11" x14ac:dyDescent="0.55000000000000004">
      <c r="A53" t="s">
        <v>299</v>
      </c>
      <c r="B53" t="s">
        <v>754</v>
      </c>
      <c r="C53" t="s">
        <v>759</v>
      </c>
      <c r="K53" t="str">
        <f>_xlfn.XLOOKUP(Table9[[#This Row],[admin_name]],$G$2:$G$33,$H$2:$H$33, Table9[[#This Row],[admin_name]])</f>
        <v>Baden-Württemberg</v>
      </c>
    </row>
    <row r="54" spans="1:11" x14ac:dyDescent="0.55000000000000004">
      <c r="A54" t="s">
        <v>452</v>
      </c>
      <c r="B54" t="s">
        <v>754</v>
      </c>
      <c r="C54" t="s">
        <v>759</v>
      </c>
      <c r="K54" t="str">
        <f>_xlfn.XLOOKUP(Table9[[#This Row],[admin_name]],$G$2:$G$33,$H$2:$H$33, Table9[[#This Row],[admin_name]])</f>
        <v>Baden-Württemberg</v>
      </c>
    </row>
    <row r="55" spans="1:11" x14ac:dyDescent="0.55000000000000004">
      <c r="A55" t="s">
        <v>458</v>
      </c>
      <c r="B55" t="s">
        <v>754</v>
      </c>
      <c r="C55" t="s">
        <v>759</v>
      </c>
      <c r="K55" t="str">
        <f>_xlfn.XLOOKUP(Table9[[#This Row],[admin_name]],$G$2:$G$33,$H$2:$H$33, Table9[[#This Row],[admin_name]])</f>
        <v>Baden-Württemberg</v>
      </c>
    </row>
    <row r="56" spans="1:11" x14ac:dyDescent="0.55000000000000004">
      <c r="A56" t="s">
        <v>457</v>
      </c>
      <c r="B56" t="s">
        <v>754</v>
      </c>
      <c r="C56" t="s">
        <v>759</v>
      </c>
      <c r="K56" t="str">
        <f>_xlfn.XLOOKUP(Table9[[#This Row],[admin_name]],$G$2:$G$33,$H$2:$H$33, Table9[[#This Row],[admin_name]])</f>
        <v>Baden-Württemberg</v>
      </c>
    </row>
    <row r="57" spans="1:11" x14ac:dyDescent="0.55000000000000004">
      <c r="A57" t="s">
        <v>76</v>
      </c>
      <c r="B57" t="s">
        <v>754</v>
      </c>
      <c r="C57" t="s">
        <v>759</v>
      </c>
      <c r="K57" t="str">
        <f>_xlfn.XLOOKUP(Table9[[#This Row],[admin_name]],$G$2:$G$33,$H$2:$H$33, Table9[[#This Row],[admin_name]])</f>
        <v>Baden-Württemberg</v>
      </c>
    </row>
    <row r="58" spans="1:11" x14ac:dyDescent="0.55000000000000004">
      <c r="A58" t="s">
        <v>407</v>
      </c>
      <c r="B58" t="s">
        <v>754</v>
      </c>
      <c r="C58" t="s">
        <v>759</v>
      </c>
      <c r="K58" t="str">
        <f>_xlfn.XLOOKUP(Table9[[#This Row],[admin_name]],$G$2:$G$33,$H$2:$H$33, Table9[[#This Row],[admin_name]])</f>
        <v>Baden-Württemberg</v>
      </c>
    </row>
    <row r="59" spans="1:11" x14ac:dyDescent="0.55000000000000004">
      <c r="A59" t="s">
        <v>473</v>
      </c>
      <c r="B59" t="s">
        <v>754</v>
      </c>
      <c r="C59" t="s">
        <v>759</v>
      </c>
      <c r="K59" t="str">
        <f>_xlfn.XLOOKUP(Table9[[#This Row],[admin_name]],$G$2:$G$33,$H$2:$H$33, Table9[[#This Row],[admin_name]])</f>
        <v>Baden-Württemberg</v>
      </c>
    </row>
    <row r="60" spans="1:11" x14ac:dyDescent="0.55000000000000004">
      <c r="A60" t="s">
        <v>215</v>
      </c>
      <c r="B60" t="s">
        <v>754</v>
      </c>
      <c r="C60" t="s">
        <v>759</v>
      </c>
      <c r="K60" t="str">
        <f>_xlfn.XLOOKUP(Table9[[#This Row],[admin_name]],$G$2:$G$33,$H$2:$H$33, Table9[[#This Row],[admin_name]])</f>
        <v>Baden-Württemberg</v>
      </c>
    </row>
    <row r="61" spans="1:11" x14ac:dyDescent="0.55000000000000004">
      <c r="A61" t="s">
        <v>462</v>
      </c>
      <c r="B61" t="s">
        <v>754</v>
      </c>
      <c r="C61" t="s">
        <v>759</v>
      </c>
      <c r="K61" t="str">
        <f>_xlfn.XLOOKUP(Table9[[#This Row],[admin_name]],$G$2:$G$33,$H$2:$H$33, Table9[[#This Row],[admin_name]])</f>
        <v>Baden-Württemberg</v>
      </c>
    </row>
    <row r="62" spans="1:11" x14ac:dyDescent="0.55000000000000004">
      <c r="A62" t="s">
        <v>109</v>
      </c>
      <c r="B62" t="s">
        <v>754</v>
      </c>
      <c r="C62" t="s">
        <v>759</v>
      </c>
      <c r="K62" t="str">
        <f>_xlfn.XLOOKUP(Table9[[#This Row],[admin_name]],$G$2:$G$33,$H$2:$H$33, Table9[[#This Row],[admin_name]])</f>
        <v>Baden-Württemberg</v>
      </c>
    </row>
    <row r="63" spans="1:11" x14ac:dyDescent="0.55000000000000004">
      <c r="A63" t="s">
        <v>528</v>
      </c>
      <c r="B63" t="s">
        <v>754</v>
      </c>
      <c r="C63" t="s">
        <v>759</v>
      </c>
      <c r="K63" t="str">
        <f>_xlfn.XLOOKUP(Table9[[#This Row],[admin_name]],$G$2:$G$33,$H$2:$H$33, Table9[[#This Row],[admin_name]])</f>
        <v>Baden-Württemberg</v>
      </c>
    </row>
    <row r="64" spans="1:11" x14ac:dyDescent="0.55000000000000004">
      <c r="A64" t="s">
        <v>372</v>
      </c>
      <c r="B64" t="s">
        <v>754</v>
      </c>
      <c r="C64" t="s">
        <v>759</v>
      </c>
      <c r="K64" t="str">
        <f>_xlfn.XLOOKUP(Table9[[#This Row],[admin_name]],$G$2:$G$33,$H$2:$H$33, Table9[[#This Row],[admin_name]])</f>
        <v>Baden-Württemberg</v>
      </c>
    </row>
    <row r="65" spans="1:11" x14ac:dyDescent="0.55000000000000004">
      <c r="A65" t="s">
        <v>515</v>
      </c>
      <c r="B65" t="s">
        <v>754</v>
      </c>
      <c r="C65" t="s">
        <v>759</v>
      </c>
      <c r="K65" t="str">
        <f>_xlfn.XLOOKUP(Table9[[#This Row],[admin_name]],$G$2:$G$33,$H$2:$H$33, Table9[[#This Row],[admin_name]])</f>
        <v>Baden-Württemberg</v>
      </c>
    </row>
    <row r="66" spans="1:11" x14ac:dyDescent="0.55000000000000004">
      <c r="A66" t="s">
        <v>330</v>
      </c>
      <c r="B66" t="s">
        <v>754</v>
      </c>
      <c r="C66" t="s">
        <v>759</v>
      </c>
      <c r="K66" t="str">
        <f>_xlfn.XLOOKUP(Table9[[#This Row],[admin_name]],$G$2:$G$33,$H$2:$H$33, Table9[[#This Row],[admin_name]])</f>
        <v>Baden-Württemberg</v>
      </c>
    </row>
    <row r="67" spans="1:11" x14ac:dyDescent="0.55000000000000004">
      <c r="A67" t="s">
        <v>495</v>
      </c>
      <c r="B67" t="s">
        <v>754</v>
      </c>
      <c r="C67" t="s">
        <v>759</v>
      </c>
      <c r="K67" t="str">
        <f>_xlfn.XLOOKUP(Table9[[#This Row],[admin_name]],$G$2:$G$33,$H$2:$H$33, Table9[[#This Row],[admin_name]])</f>
        <v>Baden-Württemberg</v>
      </c>
    </row>
    <row r="68" spans="1:11" x14ac:dyDescent="0.55000000000000004">
      <c r="A68" t="s">
        <v>477</v>
      </c>
      <c r="B68" t="s">
        <v>754</v>
      </c>
      <c r="C68" t="s">
        <v>759</v>
      </c>
      <c r="K68" t="str">
        <f>_xlfn.XLOOKUP(Table9[[#This Row],[admin_name]],$G$2:$G$33,$H$2:$H$33, Table9[[#This Row],[admin_name]])</f>
        <v>Baden-Württemberg</v>
      </c>
    </row>
    <row r="69" spans="1:11" x14ac:dyDescent="0.55000000000000004">
      <c r="A69" t="s">
        <v>433</v>
      </c>
      <c r="B69" t="s">
        <v>754</v>
      </c>
      <c r="C69" t="s">
        <v>759</v>
      </c>
      <c r="K69" t="str">
        <f>_xlfn.XLOOKUP(Table9[[#This Row],[admin_name]],$G$2:$G$33,$H$2:$H$33, Table9[[#This Row],[admin_name]])</f>
        <v>Baden-Württemberg</v>
      </c>
    </row>
    <row r="70" spans="1:11" x14ac:dyDescent="0.55000000000000004">
      <c r="A70" t="s">
        <v>438</v>
      </c>
      <c r="B70" t="s">
        <v>754</v>
      </c>
      <c r="C70" t="s">
        <v>759</v>
      </c>
      <c r="K70" t="str">
        <f>_xlfn.XLOOKUP(Table9[[#This Row],[admin_name]],$G$2:$G$33,$H$2:$H$33, Table9[[#This Row],[admin_name]])</f>
        <v>Baden-Württemberg</v>
      </c>
    </row>
    <row r="71" spans="1:11" x14ac:dyDescent="0.55000000000000004">
      <c r="A71" t="s">
        <v>206</v>
      </c>
      <c r="B71" t="s">
        <v>754</v>
      </c>
      <c r="C71" t="s">
        <v>759</v>
      </c>
      <c r="K71" t="str">
        <f>_xlfn.XLOOKUP(Table9[[#This Row],[admin_name]],$G$2:$G$33,$H$2:$H$33, Table9[[#This Row],[admin_name]])</f>
        <v>Baden-Württemberg</v>
      </c>
    </row>
    <row r="72" spans="1:11" x14ac:dyDescent="0.55000000000000004">
      <c r="A72" t="s">
        <v>521</v>
      </c>
      <c r="B72" t="s">
        <v>754</v>
      </c>
      <c r="C72" t="s">
        <v>759</v>
      </c>
      <c r="K72" t="str">
        <f>_xlfn.XLOOKUP(Table9[[#This Row],[admin_name]],$G$2:$G$33,$H$2:$H$33, Table9[[#This Row],[admin_name]])</f>
        <v>Baden-Württemberg</v>
      </c>
    </row>
    <row r="73" spans="1:11" x14ac:dyDescent="0.55000000000000004">
      <c r="A73" t="s">
        <v>5</v>
      </c>
      <c r="B73" t="s">
        <v>754</v>
      </c>
      <c r="C73" t="s">
        <v>759</v>
      </c>
      <c r="K73" t="str">
        <f>_xlfn.XLOOKUP(Table9[[#This Row],[admin_name]],$G$2:$G$33,$H$2:$H$33, Table9[[#This Row],[admin_name]])</f>
        <v>Baden-Württemberg</v>
      </c>
    </row>
    <row r="74" spans="1:11" x14ac:dyDescent="0.55000000000000004">
      <c r="A74" t="s">
        <v>59</v>
      </c>
      <c r="B74" t="s">
        <v>754</v>
      </c>
      <c r="C74" t="s">
        <v>759</v>
      </c>
      <c r="K74" t="str">
        <f>_xlfn.XLOOKUP(Table9[[#This Row],[admin_name]],$G$2:$G$33,$H$2:$H$33, Table9[[#This Row],[admin_name]])</f>
        <v>Baden-Württemberg</v>
      </c>
    </row>
    <row r="75" spans="1:11" x14ac:dyDescent="0.55000000000000004">
      <c r="A75" t="s">
        <v>323</v>
      </c>
      <c r="B75" t="s">
        <v>754</v>
      </c>
      <c r="C75" t="s">
        <v>759</v>
      </c>
      <c r="K75" t="str">
        <f>_xlfn.XLOOKUP(Table9[[#This Row],[admin_name]],$G$2:$G$33,$H$2:$H$33, Table9[[#This Row],[admin_name]])</f>
        <v>Baden-Württemberg</v>
      </c>
    </row>
    <row r="76" spans="1:11" x14ac:dyDescent="0.55000000000000004">
      <c r="A76" t="s">
        <v>364</v>
      </c>
      <c r="B76" t="s">
        <v>754</v>
      </c>
      <c r="C76" t="s">
        <v>759</v>
      </c>
      <c r="K76" t="str">
        <f>_xlfn.XLOOKUP(Table9[[#This Row],[admin_name]],$G$2:$G$33,$H$2:$H$33, Table9[[#This Row],[admin_name]])</f>
        <v>Baden-Württemberg</v>
      </c>
    </row>
    <row r="77" spans="1:11" x14ac:dyDescent="0.55000000000000004">
      <c r="A77" t="s">
        <v>268</v>
      </c>
      <c r="B77" t="s">
        <v>754</v>
      </c>
      <c r="C77" t="s">
        <v>759</v>
      </c>
      <c r="K77" t="str">
        <f>_xlfn.XLOOKUP(Table9[[#This Row],[admin_name]],$G$2:$G$33,$H$2:$H$33, Table9[[#This Row],[admin_name]])</f>
        <v>Baden-Württemberg</v>
      </c>
    </row>
    <row r="78" spans="1:11" x14ac:dyDescent="0.55000000000000004">
      <c r="A78" t="s">
        <v>85</v>
      </c>
      <c r="B78" t="s">
        <v>754</v>
      </c>
      <c r="C78" t="s">
        <v>759</v>
      </c>
      <c r="K78" t="str">
        <f>_xlfn.XLOOKUP(Table9[[#This Row],[admin_name]],$G$2:$G$33,$H$2:$H$33, Table9[[#This Row],[admin_name]])</f>
        <v>Baden-Württemberg</v>
      </c>
    </row>
    <row r="79" spans="1:11" x14ac:dyDescent="0.55000000000000004">
      <c r="A79" t="s">
        <v>777</v>
      </c>
      <c r="B79" t="s">
        <v>754</v>
      </c>
      <c r="C79" t="s">
        <v>759</v>
      </c>
      <c r="K79" t="str">
        <f>_xlfn.XLOOKUP(Table9[[#This Row],[admin_name]],$G$2:$G$33,$H$2:$H$33, Table9[[#This Row],[admin_name]])</f>
        <v>Baden-Württemberg</v>
      </c>
    </row>
    <row r="80" spans="1:11" x14ac:dyDescent="0.55000000000000004">
      <c r="A80" t="s">
        <v>789</v>
      </c>
      <c r="B80" t="s">
        <v>754</v>
      </c>
      <c r="C80" t="s">
        <v>759</v>
      </c>
      <c r="K80" t="str">
        <f>_xlfn.XLOOKUP(Table9[[#This Row],[admin_name]],$G$2:$G$33,$H$2:$H$33, Table9[[#This Row],[admin_name]])</f>
        <v>Baden-Württemberg</v>
      </c>
    </row>
    <row r="81" spans="1:11" x14ac:dyDescent="0.55000000000000004">
      <c r="A81" t="s">
        <v>497</v>
      </c>
      <c r="B81" t="s">
        <v>952</v>
      </c>
      <c r="C81" t="s">
        <v>759</v>
      </c>
      <c r="K81" t="str">
        <f>_xlfn.XLOOKUP(Table9[[#This Row],[admin_name]],$G$2:$G$33,$H$2:$H$33, Table9[[#This Row],[admin_name]])</f>
        <v>Bayern</v>
      </c>
    </row>
    <row r="82" spans="1:11" x14ac:dyDescent="0.55000000000000004">
      <c r="A82" t="s">
        <v>520</v>
      </c>
      <c r="B82" t="s">
        <v>952</v>
      </c>
      <c r="C82" t="s">
        <v>759</v>
      </c>
      <c r="K82" t="str">
        <f>_xlfn.XLOOKUP(Table9[[#This Row],[admin_name]],$G$2:$G$33,$H$2:$H$33, Table9[[#This Row],[admin_name]])</f>
        <v>Bayern</v>
      </c>
    </row>
    <row r="83" spans="1:11" x14ac:dyDescent="0.55000000000000004">
      <c r="A83" t="s">
        <v>41</v>
      </c>
      <c r="B83" t="s">
        <v>952</v>
      </c>
      <c r="C83" t="s">
        <v>759</v>
      </c>
      <c r="K83" t="str">
        <f>_xlfn.XLOOKUP(Table9[[#This Row],[admin_name]],$G$2:$G$33,$H$2:$H$33, Table9[[#This Row],[admin_name]])</f>
        <v>Bayern</v>
      </c>
    </row>
    <row r="84" spans="1:11" x14ac:dyDescent="0.55000000000000004">
      <c r="A84" t="s">
        <v>256</v>
      </c>
      <c r="B84" t="s">
        <v>952</v>
      </c>
      <c r="C84" t="s">
        <v>759</v>
      </c>
      <c r="K84" t="str">
        <f>_xlfn.XLOOKUP(Table9[[#This Row],[admin_name]],$G$2:$G$33,$H$2:$H$33, Table9[[#This Row],[admin_name]])</f>
        <v>Bayern</v>
      </c>
    </row>
    <row r="85" spans="1:11" x14ac:dyDescent="0.55000000000000004">
      <c r="A85" t="s">
        <v>280</v>
      </c>
      <c r="B85" t="s">
        <v>952</v>
      </c>
      <c r="C85" t="s">
        <v>759</v>
      </c>
      <c r="K85" t="str">
        <f>_xlfn.XLOOKUP(Table9[[#This Row],[admin_name]],$G$2:$G$33,$H$2:$H$33, Table9[[#This Row],[admin_name]])</f>
        <v>Bayern</v>
      </c>
    </row>
    <row r="86" spans="1:11" x14ac:dyDescent="0.55000000000000004">
      <c r="A86" t="s">
        <v>393</v>
      </c>
      <c r="B86" t="s">
        <v>952</v>
      </c>
      <c r="C86" t="s">
        <v>759</v>
      </c>
      <c r="K86" t="str">
        <f>_xlfn.XLOOKUP(Table9[[#This Row],[admin_name]],$G$2:$G$33,$H$2:$H$33, Table9[[#This Row],[admin_name]])</f>
        <v>Bayern</v>
      </c>
    </row>
    <row r="87" spans="1:11" x14ac:dyDescent="0.55000000000000004">
      <c r="A87" t="s">
        <v>8</v>
      </c>
      <c r="B87" t="s">
        <v>952</v>
      </c>
      <c r="C87" t="s">
        <v>759</v>
      </c>
      <c r="K87" t="str">
        <f>_xlfn.XLOOKUP(Table9[[#This Row],[admin_name]],$G$2:$G$33,$H$2:$H$33, Table9[[#This Row],[admin_name]])</f>
        <v>Bayern</v>
      </c>
    </row>
    <row r="88" spans="1:11" x14ac:dyDescent="0.55000000000000004">
      <c r="A88" t="s">
        <v>67</v>
      </c>
      <c r="B88" t="s">
        <v>952</v>
      </c>
      <c r="C88" t="s">
        <v>759</v>
      </c>
      <c r="K88" t="str">
        <f>_xlfn.XLOOKUP(Table9[[#This Row],[admin_name]],$G$2:$G$33,$H$2:$H$33, Table9[[#This Row],[admin_name]])</f>
        <v>Bayern</v>
      </c>
    </row>
    <row r="89" spans="1:11" x14ac:dyDescent="0.55000000000000004">
      <c r="A89" t="s">
        <v>84</v>
      </c>
      <c r="B89" t="s">
        <v>952</v>
      </c>
      <c r="C89" t="s">
        <v>759</v>
      </c>
      <c r="K89" t="str">
        <f>_xlfn.XLOOKUP(Table9[[#This Row],[admin_name]],$G$2:$G$33,$H$2:$H$33, Table9[[#This Row],[admin_name]])</f>
        <v>Bayern</v>
      </c>
    </row>
    <row r="90" spans="1:11" x14ac:dyDescent="0.55000000000000004">
      <c r="A90" t="s">
        <v>241</v>
      </c>
      <c r="B90" t="s">
        <v>952</v>
      </c>
      <c r="C90" t="s">
        <v>759</v>
      </c>
      <c r="K90" t="str">
        <f>_xlfn.XLOOKUP(Table9[[#This Row],[admin_name]],$G$2:$G$33,$H$2:$H$33, Table9[[#This Row],[admin_name]])</f>
        <v>Bayern</v>
      </c>
    </row>
    <row r="91" spans="1:11" x14ac:dyDescent="0.55000000000000004">
      <c r="A91" t="s">
        <v>53</v>
      </c>
      <c r="B91" t="s">
        <v>952</v>
      </c>
      <c r="C91" t="s">
        <v>759</v>
      </c>
      <c r="K91" t="str">
        <f>_xlfn.XLOOKUP(Table9[[#This Row],[admin_name]],$G$2:$G$33,$H$2:$H$33, Table9[[#This Row],[admin_name]])</f>
        <v>Bayern</v>
      </c>
    </row>
    <row r="92" spans="1:11" x14ac:dyDescent="0.55000000000000004">
      <c r="A92" t="s">
        <v>317</v>
      </c>
      <c r="B92" t="s">
        <v>952</v>
      </c>
      <c r="C92" t="s">
        <v>759</v>
      </c>
      <c r="K92" t="str">
        <f>_xlfn.XLOOKUP(Table9[[#This Row],[admin_name]],$G$2:$G$33,$H$2:$H$33, Table9[[#This Row],[admin_name]])</f>
        <v>Bayern</v>
      </c>
    </row>
    <row r="93" spans="1:11" x14ac:dyDescent="0.55000000000000004">
      <c r="A93" t="s">
        <v>383</v>
      </c>
      <c r="B93" t="s">
        <v>952</v>
      </c>
      <c r="C93" t="s">
        <v>759</v>
      </c>
      <c r="K93" t="str">
        <f>_xlfn.XLOOKUP(Table9[[#This Row],[admin_name]],$G$2:$G$33,$H$2:$H$33, Table9[[#This Row],[admin_name]])</f>
        <v>Bayern</v>
      </c>
    </row>
    <row r="94" spans="1:11" x14ac:dyDescent="0.55000000000000004">
      <c r="A94" t="s">
        <v>233</v>
      </c>
      <c r="B94" t="s">
        <v>952</v>
      </c>
      <c r="C94" t="s">
        <v>759</v>
      </c>
      <c r="K94" t="str">
        <f>_xlfn.XLOOKUP(Table9[[#This Row],[admin_name]],$G$2:$G$33,$H$2:$H$33, Table9[[#This Row],[admin_name]])</f>
        <v>Bayern</v>
      </c>
    </row>
    <row r="95" spans="1:11" x14ac:dyDescent="0.55000000000000004">
      <c r="A95" t="s">
        <v>498</v>
      </c>
      <c r="B95" t="s">
        <v>952</v>
      </c>
      <c r="C95" t="s">
        <v>759</v>
      </c>
      <c r="K95" t="str">
        <f>_xlfn.XLOOKUP(Table9[[#This Row],[admin_name]],$G$2:$G$33,$H$2:$H$33, Table9[[#This Row],[admin_name]])</f>
        <v>Bayern</v>
      </c>
    </row>
    <row r="96" spans="1:11" x14ac:dyDescent="0.55000000000000004">
      <c r="A96" t="s">
        <v>537</v>
      </c>
      <c r="B96" t="s">
        <v>952</v>
      </c>
      <c r="C96" t="s">
        <v>759</v>
      </c>
      <c r="K96" t="str">
        <f>_xlfn.XLOOKUP(Table9[[#This Row],[admin_name]],$G$2:$G$33,$H$2:$H$33, Table9[[#This Row],[admin_name]])</f>
        <v>Bayern</v>
      </c>
    </row>
    <row r="97" spans="1:11" x14ac:dyDescent="0.55000000000000004">
      <c r="A97" t="s">
        <v>184</v>
      </c>
      <c r="B97" t="s">
        <v>952</v>
      </c>
      <c r="C97" t="s">
        <v>759</v>
      </c>
      <c r="K97" t="str">
        <f>_xlfn.XLOOKUP(Table9[[#This Row],[admin_name]],$G$2:$G$33,$H$2:$H$33, Table9[[#This Row],[admin_name]])</f>
        <v>Bayern</v>
      </c>
    </row>
    <row r="98" spans="1:11" x14ac:dyDescent="0.55000000000000004">
      <c r="A98" t="s">
        <v>427</v>
      </c>
      <c r="B98" t="s">
        <v>952</v>
      </c>
      <c r="C98" t="s">
        <v>759</v>
      </c>
      <c r="K98" t="str">
        <f>_xlfn.XLOOKUP(Table9[[#This Row],[admin_name]],$G$2:$G$33,$H$2:$H$33, Table9[[#This Row],[admin_name]])</f>
        <v>Bayern</v>
      </c>
    </row>
    <row r="99" spans="1:11" x14ac:dyDescent="0.55000000000000004">
      <c r="A99" t="s">
        <v>493</v>
      </c>
      <c r="B99" t="s">
        <v>952</v>
      </c>
      <c r="C99" t="s">
        <v>759</v>
      </c>
      <c r="K99" t="str">
        <f>_xlfn.XLOOKUP(Table9[[#This Row],[admin_name]],$G$2:$G$33,$H$2:$H$33, Table9[[#This Row],[admin_name]])</f>
        <v>Bayern</v>
      </c>
    </row>
    <row r="100" spans="1:11" x14ac:dyDescent="0.55000000000000004">
      <c r="A100" t="s">
        <v>264</v>
      </c>
      <c r="B100" t="s">
        <v>952</v>
      </c>
      <c r="C100" t="s">
        <v>759</v>
      </c>
      <c r="K100" t="str">
        <f>_xlfn.XLOOKUP(Table9[[#This Row],[admin_name]],$G$2:$G$33,$H$2:$H$33, Table9[[#This Row],[admin_name]])</f>
        <v>Bayern</v>
      </c>
    </row>
    <row r="101" spans="1:11" x14ac:dyDescent="0.55000000000000004">
      <c r="A101" t="s">
        <v>284</v>
      </c>
      <c r="B101" t="s">
        <v>952</v>
      </c>
      <c r="C101" t="s">
        <v>759</v>
      </c>
      <c r="K101" t="str">
        <f>_xlfn.XLOOKUP(Table9[[#This Row],[admin_name]],$G$2:$G$33,$H$2:$H$33, Table9[[#This Row],[admin_name]])</f>
        <v>Bayern</v>
      </c>
    </row>
    <row r="102" spans="1:11" x14ac:dyDescent="0.55000000000000004">
      <c r="A102" t="s">
        <v>496</v>
      </c>
      <c r="B102" t="s">
        <v>952</v>
      </c>
      <c r="C102" t="s">
        <v>759</v>
      </c>
      <c r="K102" t="str">
        <f>_xlfn.XLOOKUP(Table9[[#This Row],[admin_name]],$G$2:$G$33,$H$2:$H$33, Table9[[#This Row],[admin_name]])</f>
        <v>Bayern</v>
      </c>
    </row>
    <row r="103" spans="1:11" x14ac:dyDescent="0.55000000000000004">
      <c r="A103" t="s">
        <v>17</v>
      </c>
      <c r="B103" t="s">
        <v>952</v>
      </c>
      <c r="C103" t="s">
        <v>759</v>
      </c>
      <c r="K103" t="str">
        <f>_xlfn.XLOOKUP(Table9[[#This Row],[admin_name]],$G$2:$G$33,$H$2:$H$33, Table9[[#This Row],[admin_name]])</f>
        <v>Bayern</v>
      </c>
    </row>
    <row r="104" spans="1:11" x14ac:dyDescent="0.55000000000000004">
      <c r="A104" t="s">
        <v>101</v>
      </c>
      <c r="B104" t="s">
        <v>952</v>
      </c>
      <c r="C104" t="s">
        <v>759</v>
      </c>
      <c r="K104" t="str">
        <f>_xlfn.XLOOKUP(Table9[[#This Row],[admin_name]],$G$2:$G$33,$H$2:$H$33, Table9[[#This Row],[admin_name]])</f>
        <v>Bayern</v>
      </c>
    </row>
    <row r="105" spans="1:11" x14ac:dyDescent="0.55000000000000004">
      <c r="A105" t="s">
        <v>431</v>
      </c>
      <c r="B105" t="s">
        <v>952</v>
      </c>
      <c r="C105" t="s">
        <v>759</v>
      </c>
      <c r="K105" t="str">
        <f>_xlfn.XLOOKUP(Table9[[#This Row],[admin_name]],$G$2:$G$33,$H$2:$H$33, Table9[[#This Row],[admin_name]])</f>
        <v>Bayern</v>
      </c>
    </row>
    <row r="106" spans="1:11" x14ac:dyDescent="0.55000000000000004">
      <c r="A106" t="s">
        <v>362</v>
      </c>
      <c r="B106" t="s">
        <v>952</v>
      </c>
      <c r="C106" t="s">
        <v>759</v>
      </c>
      <c r="K106" t="str">
        <f>_xlfn.XLOOKUP(Table9[[#This Row],[admin_name]],$G$2:$G$33,$H$2:$H$33, Table9[[#This Row],[admin_name]])</f>
        <v>Bayern</v>
      </c>
    </row>
    <row r="107" spans="1:11" x14ac:dyDescent="0.55000000000000004">
      <c r="A107" t="s">
        <v>414</v>
      </c>
      <c r="B107" t="s">
        <v>952</v>
      </c>
      <c r="C107" t="s">
        <v>759</v>
      </c>
      <c r="K107" t="str">
        <f>_xlfn.XLOOKUP(Table9[[#This Row],[admin_name]],$G$2:$G$33,$H$2:$H$33, Table9[[#This Row],[admin_name]])</f>
        <v>Bayern</v>
      </c>
    </row>
    <row r="108" spans="1:11" x14ac:dyDescent="0.55000000000000004">
      <c r="A108" t="s">
        <v>73</v>
      </c>
      <c r="B108" t="s">
        <v>952</v>
      </c>
      <c r="C108" t="s">
        <v>759</v>
      </c>
      <c r="K108" t="str">
        <f>_xlfn.XLOOKUP(Table9[[#This Row],[admin_name]],$G$2:$G$33,$H$2:$H$33, Table9[[#This Row],[admin_name]])</f>
        <v>Bayern</v>
      </c>
    </row>
    <row r="109" spans="1:11" x14ac:dyDescent="0.55000000000000004">
      <c r="A109" t="s">
        <v>367</v>
      </c>
      <c r="B109" t="s">
        <v>952</v>
      </c>
      <c r="C109" t="s">
        <v>759</v>
      </c>
      <c r="K109" t="str">
        <f>_xlfn.XLOOKUP(Table9[[#This Row],[admin_name]],$G$2:$G$33,$H$2:$H$33, Table9[[#This Row],[admin_name]])</f>
        <v>Bayern</v>
      </c>
    </row>
    <row r="110" spans="1:11" x14ac:dyDescent="0.55000000000000004">
      <c r="A110" t="s">
        <v>96</v>
      </c>
      <c r="B110" t="s">
        <v>952</v>
      </c>
      <c r="C110" t="s">
        <v>759</v>
      </c>
      <c r="K110" t="str">
        <f>_xlfn.XLOOKUP(Table9[[#This Row],[admin_name]],$G$2:$G$33,$H$2:$H$33, Table9[[#This Row],[admin_name]])</f>
        <v>Bayern</v>
      </c>
    </row>
    <row r="111" spans="1:11" x14ac:dyDescent="0.55000000000000004">
      <c r="A111" t="s">
        <v>384</v>
      </c>
      <c r="B111" t="s">
        <v>952</v>
      </c>
      <c r="C111" t="s">
        <v>759</v>
      </c>
      <c r="K111" t="str">
        <f>_xlfn.XLOOKUP(Table9[[#This Row],[admin_name]],$G$2:$G$33,$H$2:$H$33, Table9[[#This Row],[admin_name]])</f>
        <v>Bayern</v>
      </c>
    </row>
    <row r="112" spans="1:11" x14ac:dyDescent="0.55000000000000004">
      <c r="A112" t="s">
        <v>117</v>
      </c>
      <c r="B112" t="s">
        <v>952</v>
      </c>
      <c r="C112" t="s">
        <v>759</v>
      </c>
      <c r="K112" t="str">
        <f>_xlfn.XLOOKUP(Table9[[#This Row],[admin_name]],$G$2:$G$33,$H$2:$H$33, Table9[[#This Row],[admin_name]])</f>
        <v>Bayern</v>
      </c>
    </row>
    <row r="113" spans="1:11" x14ac:dyDescent="0.55000000000000004">
      <c r="A113" t="s">
        <v>294</v>
      </c>
      <c r="B113" t="s">
        <v>952</v>
      </c>
      <c r="C113" t="s">
        <v>759</v>
      </c>
      <c r="K113" t="str">
        <f>_xlfn.XLOOKUP(Table9[[#This Row],[admin_name]],$G$2:$G$33,$H$2:$H$33, Table9[[#This Row],[admin_name]])</f>
        <v>Bayern</v>
      </c>
    </row>
    <row r="114" spans="1:11" x14ac:dyDescent="0.55000000000000004">
      <c r="A114" t="s">
        <v>81</v>
      </c>
      <c r="B114" t="s">
        <v>952</v>
      </c>
      <c r="C114" t="s">
        <v>759</v>
      </c>
      <c r="K114" t="str">
        <f>_xlfn.XLOOKUP(Table9[[#This Row],[admin_name]],$G$2:$G$33,$H$2:$H$33, Table9[[#This Row],[admin_name]])</f>
        <v>Bayern</v>
      </c>
    </row>
    <row r="115" spans="1:11" x14ac:dyDescent="0.55000000000000004">
      <c r="A115" t="s">
        <v>465</v>
      </c>
      <c r="B115" t="s">
        <v>952</v>
      </c>
      <c r="C115" t="s">
        <v>759</v>
      </c>
      <c r="K115" t="str">
        <f>_xlfn.XLOOKUP(Table9[[#This Row],[admin_name]],$G$2:$G$33,$H$2:$H$33, Table9[[#This Row],[admin_name]])</f>
        <v>Bayern</v>
      </c>
    </row>
    <row r="116" spans="1:11" x14ac:dyDescent="0.55000000000000004">
      <c r="A116" t="s">
        <v>423</v>
      </c>
      <c r="B116" t="s">
        <v>952</v>
      </c>
      <c r="C116" t="s">
        <v>759</v>
      </c>
      <c r="K116" t="str">
        <f>_xlfn.XLOOKUP(Table9[[#This Row],[admin_name]],$G$2:$G$33,$H$2:$H$33, Table9[[#This Row],[admin_name]])</f>
        <v>Bayern</v>
      </c>
    </row>
    <row r="117" spans="1:11" x14ac:dyDescent="0.55000000000000004">
      <c r="A117" t="s">
        <v>394</v>
      </c>
      <c r="B117" t="s">
        <v>952</v>
      </c>
      <c r="C117" t="s">
        <v>759</v>
      </c>
      <c r="K117" t="str">
        <f>_xlfn.XLOOKUP(Table9[[#This Row],[admin_name]],$G$2:$G$33,$H$2:$H$33, Table9[[#This Row],[admin_name]])</f>
        <v>Bayern</v>
      </c>
    </row>
    <row r="118" spans="1:11" x14ac:dyDescent="0.55000000000000004">
      <c r="A118" t="s">
        <v>278</v>
      </c>
      <c r="B118" t="s">
        <v>952</v>
      </c>
      <c r="C118" t="s">
        <v>759</v>
      </c>
      <c r="K118" t="str">
        <f>_xlfn.XLOOKUP(Table9[[#This Row],[admin_name]],$G$2:$G$33,$H$2:$H$33, Table9[[#This Row],[admin_name]])</f>
        <v>Bayern</v>
      </c>
    </row>
    <row r="119" spans="1:11" x14ac:dyDescent="0.55000000000000004">
      <c r="A119" t="s">
        <v>251</v>
      </c>
      <c r="B119" t="s">
        <v>952</v>
      </c>
      <c r="C119" t="s">
        <v>759</v>
      </c>
      <c r="K119" t="str">
        <f>_xlfn.XLOOKUP(Table9[[#This Row],[admin_name]],$G$2:$G$33,$H$2:$H$33, Table9[[#This Row],[admin_name]])</f>
        <v>Bayern</v>
      </c>
    </row>
    <row r="120" spans="1:11" x14ac:dyDescent="0.55000000000000004">
      <c r="A120" t="s">
        <v>78</v>
      </c>
      <c r="B120" t="s">
        <v>952</v>
      </c>
      <c r="C120" t="s">
        <v>759</v>
      </c>
      <c r="K120" t="str">
        <f>_xlfn.XLOOKUP(Table9[[#This Row],[admin_name]],$G$2:$G$33,$H$2:$H$33, Table9[[#This Row],[admin_name]])</f>
        <v>Bayern</v>
      </c>
    </row>
    <row r="121" spans="1:11" x14ac:dyDescent="0.55000000000000004">
      <c r="A121" t="s">
        <v>428</v>
      </c>
      <c r="B121" t="s">
        <v>952</v>
      </c>
      <c r="C121" t="s">
        <v>759</v>
      </c>
      <c r="K121" t="str">
        <f>_xlfn.XLOOKUP(Table9[[#This Row],[admin_name]],$G$2:$G$33,$H$2:$H$33, Table9[[#This Row],[admin_name]])</f>
        <v>Bayern</v>
      </c>
    </row>
    <row r="122" spans="1:11" x14ac:dyDescent="0.55000000000000004">
      <c r="A122" t="s">
        <v>269</v>
      </c>
      <c r="B122" t="s">
        <v>952</v>
      </c>
      <c r="C122" t="s">
        <v>759</v>
      </c>
      <c r="K122" t="str">
        <f>_xlfn.XLOOKUP(Table9[[#This Row],[admin_name]],$G$2:$G$33,$H$2:$H$33, Table9[[#This Row],[admin_name]])</f>
        <v>Bayern</v>
      </c>
    </row>
    <row r="123" spans="1:11" x14ac:dyDescent="0.55000000000000004">
      <c r="A123" t="s">
        <v>326</v>
      </c>
      <c r="B123" t="s">
        <v>952</v>
      </c>
      <c r="C123" t="s">
        <v>759</v>
      </c>
      <c r="K123" t="str">
        <f>_xlfn.XLOOKUP(Table9[[#This Row],[admin_name]],$G$2:$G$33,$H$2:$H$33, Table9[[#This Row],[admin_name]])</f>
        <v>Bayern</v>
      </c>
    </row>
    <row r="124" spans="1:11" x14ac:dyDescent="0.55000000000000004">
      <c r="A124" t="s">
        <v>319</v>
      </c>
      <c r="B124" t="s">
        <v>952</v>
      </c>
      <c r="C124" t="s">
        <v>759</v>
      </c>
      <c r="K124" t="str">
        <f>_xlfn.XLOOKUP(Table9[[#This Row],[admin_name]],$G$2:$G$33,$H$2:$H$33, Table9[[#This Row],[admin_name]])</f>
        <v>Bayern</v>
      </c>
    </row>
    <row r="125" spans="1:11" x14ac:dyDescent="0.55000000000000004">
      <c r="A125" t="s">
        <v>21</v>
      </c>
      <c r="B125" t="s">
        <v>952</v>
      </c>
      <c r="C125" t="s">
        <v>759</v>
      </c>
      <c r="K125" t="str">
        <f>_xlfn.XLOOKUP(Table9[[#This Row],[admin_name]],$G$2:$G$33,$H$2:$H$33, Table9[[#This Row],[admin_name]])</f>
        <v>Bayern</v>
      </c>
    </row>
    <row r="126" spans="1:11" x14ac:dyDescent="0.55000000000000004">
      <c r="A126" t="s">
        <v>14</v>
      </c>
      <c r="B126" t="s">
        <v>952</v>
      </c>
      <c r="C126" t="s">
        <v>759</v>
      </c>
      <c r="K126" t="str">
        <f>_xlfn.XLOOKUP(Table9[[#This Row],[admin_name]],$G$2:$G$33,$H$2:$H$33, Table9[[#This Row],[admin_name]])</f>
        <v>Bayern</v>
      </c>
    </row>
    <row r="127" spans="1:11" x14ac:dyDescent="0.55000000000000004">
      <c r="A127" t="s">
        <v>455</v>
      </c>
      <c r="B127" t="s">
        <v>952</v>
      </c>
      <c r="C127" t="s">
        <v>759</v>
      </c>
      <c r="K127" t="str">
        <f>_xlfn.XLOOKUP(Table9[[#This Row],[admin_name]],$G$2:$G$33,$H$2:$H$33, Table9[[#This Row],[admin_name]])</f>
        <v>Bayern</v>
      </c>
    </row>
    <row r="128" spans="1:11" x14ac:dyDescent="0.55000000000000004">
      <c r="A128" t="s">
        <v>20</v>
      </c>
      <c r="B128" t="s">
        <v>952</v>
      </c>
      <c r="C128" t="s">
        <v>759</v>
      </c>
      <c r="K128" t="str">
        <f>_xlfn.XLOOKUP(Table9[[#This Row],[admin_name]],$G$2:$G$33,$H$2:$H$33, Table9[[#This Row],[admin_name]])</f>
        <v>Bayern</v>
      </c>
    </row>
    <row r="129" spans="1:11" x14ac:dyDescent="0.55000000000000004">
      <c r="A129" t="s">
        <v>540</v>
      </c>
      <c r="B129" t="s">
        <v>952</v>
      </c>
      <c r="C129" t="s">
        <v>759</v>
      </c>
      <c r="K129" t="str">
        <f>_xlfn.XLOOKUP(Table9[[#This Row],[admin_name]],$G$2:$G$33,$H$2:$H$33, Table9[[#This Row],[admin_name]])</f>
        <v>Bayern</v>
      </c>
    </row>
    <row r="130" spans="1:11" x14ac:dyDescent="0.55000000000000004">
      <c r="A130" t="s">
        <v>468</v>
      </c>
      <c r="B130" t="s">
        <v>952</v>
      </c>
      <c r="C130" t="s">
        <v>759</v>
      </c>
      <c r="K130" t="str">
        <f>_xlfn.XLOOKUP(Table9[[#This Row],[admin_name]],$G$2:$G$33,$H$2:$H$33, Table9[[#This Row],[admin_name]])</f>
        <v>Bayern</v>
      </c>
    </row>
    <row r="131" spans="1:11" x14ac:dyDescent="0.55000000000000004">
      <c r="A131" t="s">
        <v>328</v>
      </c>
      <c r="B131" t="s">
        <v>952</v>
      </c>
      <c r="C131" t="s">
        <v>759</v>
      </c>
      <c r="K131" t="str">
        <f>_xlfn.XLOOKUP(Table9[[#This Row],[admin_name]],$G$2:$G$33,$H$2:$H$33, Table9[[#This Row],[admin_name]])</f>
        <v>Bayern</v>
      </c>
    </row>
    <row r="132" spans="1:11" x14ac:dyDescent="0.55000000000000004">
      <c r="A132" t="s">
        <v>550</v>
      </c>
      <c r="B132" t="s">
        <v>952</v>
      </c>
      <c r="C132" t="s">
        <v>759</v>
      </c>
      <c r="K132" t="str">
        <f>_xlfn.XLOOKUP(Table9[[#This Row],[admin_name]],$G$2:$G$33,$H$2:$H$33, Table9[[#This Row],[admin_name]])</f>
        <v>Bayern</v>
      </c>
    </row>
    <row r="133" spans="1:11" x14ac:dyDescent="0.55000000000000004">
      <c r="A133" t="s">
        <v>339</v>
      </c>
      <c r="B133" t="s">
        <v>952</v>
      </c>
      <c r="C133" t="s">
        <v>759</v>
      </c>
      <c r="K133" t="str">
        <f>_xlfn.XLOOKUP(Table9[[#This Row],[admin_name]],$G$2:$G$33,$H$2:$H$33, Table9[[#This Row],[admin_name]])</f>
        <v>Bayern</v>
      </c>
    </row>
    <row r="134" spans="1:11" x14ac:dyDescent="0.55000000000000004">
      <c r="A134" t="s">
        <v>408</v>
      </c>
      <c r="B134" t="s">
        <v>952</v>
      </c>
      <c r="C134" t="s">
        <v>759</v>
      </c>
      <c r="K134" t="str">
        <f>_xlfn.XLOOKUP(Table9[[#This Row],[admin_name]],$G$2:$G$33,$H$2:$H$33, Table9[[#This Row],[admin_name]])</f>
        <v>Bayern</v>
      </c>
    </row>
    <row r="135" spans="1:11" x14ac:dyDescent="0.55000000000000004">
      <c r="A135" t="s">
        <v>244</v>
      </c>
      <c r="B135" t="s">
        <v>952</v>
      </c>
      <c r="C135" t="s">
        <v>759</v>
      </c>
      <c r="K135" t="str">
        <f>_xlfn.XLOOKUP(Table9[[#This Row],[admin_name]],$G$2:$G$33,$H$2:$H$33, Table9[[#This Row],[admin_name]])</f>
        <v>Bayern</v>
      </c>
    </row>
    <row r="136" spans="1:11" x14ac:dyDescent="0.55000000000000004">
      <c r="A136" t="s">
        <v>51</v>
      </c>
      <c r="B136" t="s">
        <v>952</v>
      </c>
      <c r="C136" t="s">
        <v>759</v>
      </c>
      <c r="K136" t="str">
        <f>_xlfn.XLOOKUP(Table9[[#This Row],[admin_name]],$G$2:$G$33,$H$2:$H$33, Table9[[#This Row],[admin_name]])</f>
        <v>Bayern</v>
      </c>
    </row>
    <row r="137" spans="1:11" x14ac:dyDescent="0.55000000000000004">
      <c r="A137" t="s">
        <v>144</v>
      </c>
      <c r="B137" t="s">
        <v>952</v>
      </c>
      <c r="C137" t="s">
        <v>759</v>
      </c>
      <c r="K137" t="str">
        <f>_xlfn.XLOOKUP(Table9[[#This Row],[admin_name]],$G$2:$G$33,$H$2:$H$33, Table9[[#This Row],[admin_name]])</f>
        <v>Bayern</v>
      </c>
    </row>
    <row r="138" spans="1:11" x14ac:dyDescent="0.55000000000000004">
      <c r="A138" t="s">
        <v>304</v>
      </c>
      <c r="B138" t="s">
        <v>952</v>
      </c>
      <c r="C138" t="s">
        <v>759</v>
      </c>
      <c r="K138" t="str">
        <f>_xlfn.XLOOKUP(Table9[[#This Row],[admin_name]],$G$2:$G$33,$H$2:$H$33, Table9[[#This Row],[admin_name]])</f>
        <v>Bayern</v>
      </c>
    </row>
    <row r="139" spans="1:11" x14ac:dyDescent="0.55000000000000004">
      <c r="A139" t="s">
        <v>321</v>
      </c>
      <c r="B139" t="s">
        <v>952</v>
      </c>
      <c r="C139" t="s">
        <v>759</v>
      </c>
      <c r="K139" t="str">
        <f>_xlfn.XLOOKUP(Table9[[#This Row],[admin_name]],$G$2:$G$33,$H$2:$H$33, Table9[[#This Row],[admin_name]])</f>
        <v>Bayern</v>
      </c>
    </row>
    <row r="140" spans="1:11" x14ac:dyDescent="0.55000000000000004">
      <c r="A140" t="s">
        <v>273</v>
      </c>
      <c r="B140" t="s">
        <v>952</v>
      </c>
      <c r="C140" t="s">
        <v>759</v>
      </c>
      <c r="K140" t="str">
        <f>_xlfn.XLOOKUP(Table9[[#This Row],[admin_name]],$G$2:$G$33,$H$2:$H$33, Table9[[#This Row],[admin_name]])</f>
        <v>Bayern</v>
      </c>
    </row>
    <row r="141" spans="1:11" x14ac:dyDescent="0.55000000000000004">
      <c r="A141" t="s">
        <v>314</v>
      </c>
      <c r="B141" t="s">
        <v>952</v>
      </c>
      <c r="C141" t="s">
        <v>759</v>
      </c>
      <c r="K141" t="str">
        <f>_xlfn.XLOOKUP(Table9[[#This Row],[admin_name]],$G$2:$G$33,$H$2:$H$33, Table9[[#This Row],[admin_name]])</f>
        <v>Bayern</v>
      </c>
    </row>
    <row r="142" spans="1:11" x14ac:dyDescent="0.55000000000000004">
      <c r="A142" t="s">
        <v>354</v>
      </c>
      <c r="B142" t="s">
        <v>952</v>
      </c>
      <c r="C142" t="s">
        <v>759</v>
      </c>
      <c r="K142" t="str">
        <f>_xlfn.XLOOKUP(Table9[[#This Row],[admin_name]],$G$2:$G$33,$H$2:$H$33, Table9[[#This Row],[admin_name]])</f>
        <v>Bayern</v>
      </c>
    </row>
    <row r="143" spans="1:11" x14ac:dyDescent="0.55000000000000004">
      <c r="A143" t="s">
        <v>55</v>
      </c>
      <c r="B143" t="s">
        <v>952</v>
      </c>
      <c r="C143" t="s">
        <v>759</v>
      </c>
      <c r="K143" t="str">
        <f>_xlfn.XLOOKUP(Table9[[#This Row],[admin_name]],$G$2:$G$33,$H$2:$H$33, Table9[[#This Row],[admin_name]])</f>
        <v>Bayern</v>
      </c>
    </row>
    <row r="144" spans="1:11" x14ac:dyDescent="0.55000000000000004">
      <c r="A144" t="s">
        <v>436</v>
      </c>
      <c r="B144" t="s">
        <v>952</v>
      </c>
      <c r="C144" t="s">
        <v>759</v>
      </c>
      <c r="K144" t="str">
        <f>_xlfn.XLOOKUP(Table9[[#This Row],[admin_name]],$G$2:$G$33,$H$2:$H$33, Table9[[#This Row],[admin_name]])</f>
        <v>Bayern</v>
      </c>
    </row>
    <row r="145" spans="1:11" x14ac:dyDescent="0.55000000000000004">
      <c r="A145" t="s">
        <v>772</v>
      </c>
      <c r="B145" t="s">
        <v>952</v>
      </c>
      <c r="C145" t="s">
        <v>759</v>
      </c>
      <c r="K145" t="str">
        <f>_xlfn.XLOOKUP(Table9[[#This Row],[admin_name]],$G$2:$G$33,$H$2:$H$33, Table9[[#This Row],[admin_name]])</f>
        <v>Bayern</v>
      </c>
    </row>
    <row r="146" spans="1:11" x14ac:dyDescent="0.55000000000000004">
      <c r="A146" t="s">
        <v>774</v>
      </c>
      <c r="B146" t="s">
        <v>952</v>
      </c>
      <c r="C146" t="s">
        <v>759</v>
      </c>
      <c r="K146" t="str">
        <f>_xlfn.XLOOKUP(Table9[[#This Row],[admin_name]],$G$2:$G$33,$H$2:$H$33, Table9[[#This Row],[admin_name]])</f>
        <v>Bayern</v>
      </c>
    </row>
    <row r="147" spans="1:11" x14ac:dyDescent="0.55000000000000004">
      <c r="A147" t="s">
        <v>775</v>
      </c>
      <c r="B147" t="s">
        <v>952</v>
      </c>
      <c r="C147" t="s">
        <v>759</v>
      </c>
      <c r="K147" t="str">
        <f>_xlfn.XLOOKUP(Table9[[#This Row],[admin_name]],$G$2:$G$33,$H$2:$H$33, Table9[[#This Row],[admin_name]])</f>
        <v>Bayern</v>
      </c>
    </row>
    <row r="148" spans="1:11" x14ac:dyDescent="0.55000000000000004">
      <c r="A148" t="s">
        <v>776</v>
      </c>
      <c r="B148" t="s">
        <v>952</v>
      </c>
      <c r="C148" t="s">
        <v>759</v>
      </c>
      <c r="K148" t="str">
        <f>_xlfn.XLOOKUP(Table9[[#This Row],[admin_name]],$G$2:$G$33,$H$2:$H$33, Table9[[#This Row],[admin_name]])</f>
        <v>Bayern</v>
      </c>
    </row>
    <row r="149" spans="1:11" x14ac:dyDescent="0.55000000000000004">
      <c r="A149" t="s">
        <v>778</v>
      </c>
      <c r="B149" t="s">
        <v>952</v>
      </c>
      <c r="C149" t="s">
        <v>759</v>
      </c>
      <c r="K149" t="str">
        <f>_xlfn.XLOOKUP(Table9[[#This Row],[admin_name]],$G$2:$G$33,$H$2:$H$33, Table9[[#This Row],[admin_name]])</f>
        <v>Bayern</v>
      </c>
    </row>
    <row r="150" spans="1:11" x14ac:dyDescent="0.55000000000000004">
      <c r="A150" t="s">
        <v>787</v>
      </c>
      <c r="B150" t="s">
        <v>952</v>
      </c>
      <c r="C150" t="s">
        <v>759</v>
      </c>
      <c r="K150" t="str">
        <f>_xlfn.XLOOKUP(Table9[[#This Row],[admin_name]],$G$2:$G$33,$H$2:$H$33, Table9[[#This Row],[admin_name]])</f>
        <v>Bayern</v>
      </c>
    </row>
    <row r="151" spans="1:11" x14ac:dyDescent="0.55000000000000004">
      <c r="A151" t="s">
        <v>788</v>
      </c>
      <c r="B151" t="s">
        <v>952</v>
      </c>
      <c r="C151" t="s">
        <v>759</v>
      </c>
      <c r="K151" t="str">
        <f>_xlfn.XLOOKUP(Table9[[#This Row],[admin_name]],$G$2:$G$33,$H$2:$H$33, Table9[[#This Row],[admin_name]])</f>
        <v>Bayern</v>
      </c>
    </row>
    <row r="152" spans="1:11" x14ac:dyDescent="0.55000000000000004">
      <c r="A152" t="s">
        <v>109</v>
      </c>
      <c r="B152" t="s">
        <v>952</v>
      </c>
      <c r="C152" t="s">
        <v>759</v>
      </c>
      <c r="K152" t="str">
        <f>_xlfn.XLOOKUP(Table9[[#This Row],[admin_name]],$G$2:$G$33,$H$2:$H$33, Table9[[#This Row],[admin_name]])</f>
        <v>Bayern</v>
      </c>
    </row>
    <row r="153" spans="1:11" x14ac:dyDescent="0.55000000000000004">
      <c r="A153" t="s">
        <v>790</v>
      </c>
      <c r="B153" t="s">
        <v>952</v>
      </c>
      <c r="C153" t="s">
        <v>759</v>
      </c>
      <c r="K153" t="str">
        <f>_xlfn.XLOOKUP(Table9[[#This Row],[admin_name]],$G$2:$G$33,$H$2:$H$33, Table9[[#This Row],[admin_name]])</f>
        <v>Bayern</v>
      </c>
    </row>
    <row r="154" spans="1:11" x14ac:dyDescent="0.55000000000000004">
      <c r="A154" t="s">
        <v>791</v>
      </c>
      <c r="B154" t="s">
        <v>952</v>
      </c>
      <c r="C154" t="s">
        <v>759</v>
      </c>
      <c r="K154" t="str">
        <f>_xlfn.XLOOKUP(Table9[[#This Row],[admin_name]],$G$2:$G$33,$H$2:$H$33, Table9[[#This Row],[admin_name]])</f>
        <v>Bayern</v>
      </c>
    </row>
    <row r="155" spans="1:11" x14ac:dyDescent="0.55000000000000004">
      <c r="A155" t="s">
        <v>795</v>
      </c>
      <c r="B155" t="s">
        <v>952</v>
      </c>
      <c r="C155" t="s">
        <v>759</v>
      </c>
      <c r="K155" t="str">
        <f>_xlfn.XLOOKUP(Table9[[#This Row],[admin_name]],$G$2:$G$33,$H$2:$H$33, Table9[[#This Row],[admin_name]])</f>
        <v>Bayern</v>
      </c>
    </row>
    <row r="156" spans="1:11" x14ac:dyDescent="0.55000000000000004">
      <c r="A156" t="s">
        <v>797</v>
      </c>
      <c r="B156" t="s">
        <v>952</v>
      </c>
      <c r="C156" t="s">
        <v>759</v>
      </c>
      <c r="K156" t="str">
        <f>_xlfn.XLOOKUP(Table9[[#This Row],[admin_name]],$G$2:$G$33,$H$2:$H$33, Table9[[#This Row],[admin_name]])</f>
        <v>Bayern</v>
      </c>
    </row>
    <row r="157" spans="1:11" x14ac:dyDescent="0.55000000000000004">
      <c r="A157" t="s">
        <v>799</v>
      </c>
      <c r="B157" t="s">
        <v>952</v>
      </c>
      <c r="C157" t="s">
        <v>759</v>
      </c>
      <c r="K157" t="str">
        <f>_xlfn.XLOOKUP(Table9[[#This Row],[admin_name]],$G$2:$G$33,$H$2:$H$33, Table9[[#This Row],[admin_name]])</f>
        <v>Bayern</v>
      </c>
    </row>
    <row r="158" spans="1:11" x14ac:dyDescent="0.55000000000000004">
      <c r="A158" t="s">
        <v>802</v>
      </c>
      <c r="B158" t="s">
        <v>952</v>
      </c>
      <c r="C158" t="s">
        <v>759</v>
      </c>
      <c r="K158" t="str">
        <f>_xlfn.XLOOKUP(Table9[[#This Row],[admin_name]],$G$2:$G$33,$H$2:$H$33, Table9[[#This Row],[admin_name]])</f>
        <v>Bayern</v>
      </c>
    </row>
    <row r="159" spans="1:11" x14ac:dyDescent="0.55000000000000004">
      <c r="A159" t="s">
        <v>803</v>
      </c>
      <c r="B159" t="s">
        <v>952</v>
      </c>
      <c r="C159" t="s">
        <v>759</v>
      </c>
      <c r="K159" t="str">
        <f>_xlfn.XLOOKUP(Table9[[#This Row],[admin_name]],$G$2:$G$33,$H$2:$H$33, Table9[[#This Row],[admin_name]])</f>
        <v>Bayern</v>
      </c>
    </row>
    <row r="160" spans="1:11" x14ac:dyDescent="0.55000000000000004">
      <c r="A160" t="s">
        <v>807</v>
      </c>
      <c r="B160" t="s">
        <v>952</v>
      </c>
      <c r="C160" t="s">
        <v>759</v>
      </c>
      <c r="K160" t="str">
        <f>_xlfn.XLOOKUP(Table9[[#This Row],[admin_name]],$G$2:$G$33,$H$2:$H$33, Table9[[#This Row],[admin_name]])</f>
        <v>Bayern</v>
      </c>
    </row>
    <row r="161" spans="1:11" x14ac:dyDescent="0.55000000000000004">
      <c r="A161" t="s">
        <v>812</v>
      </c>
      <c r="B161" t="s">
        <v>952</v>
      </c>
      <c r="C161" t="s">
        <v>759</v>
      </c>
      <c r="K161" t="str">
        <f>_xlfn.XLOOKUP(Table9[[#This Row],[admin_name]],$G$2:$G$33,$H$2:$H$33, Table9[[#This Row],[admin_name]])</f>
        <v>Bayern</v>
      </c>
    </row>
    <row r="162" spans="1:11" x14ac:dyDescent="0.55000000000000004">
      <c r="A162" t="s">
        <v>109</v>
      </c>
      <c r="B162" t="s">
        <v>952</v>
      </c>
      <c r="C162" t="s">
        <v>759</v>
      </c>
      <c r="K162" t="str">
        <f>_xlfn.XLOOKUP(Table9[[#This Row],[admin_name]],$G$2:$G$33,$H$2:$H$33, Table9[[#This Row],[admin_name]])</f>
        <v>Bayern</v>
      </c>
    </row>
    <row r="163" spans="1:11" x14ac:dyDescent="0.55000000000000004">
      <c r="A163" t="s">
        <v>819</v>
      </c>
      <c r="B163" t="s">
        <v>952</v>
      </c>
      <c r="C163" t="s">
        <v>759</v>
      </c>
      <c r="K163" t="str">
        <f>_xlfn.XLOOKUP(Table9[[#This Row],[admin_name]],$G$2:$G$33,$H$2:$H$33, Table9[[#This Row],[admin_name]])</f>
        <v>Bayern</v>
      </c>
    </row>
    <row r="164" spans="1:11" x14ac:dyDescent="0.55000000000000004">
      <c r="A164" t="s">
        <v>824</v>
      </c>
      <c r="B164" t="s">
        <v>952</v>
      </c>
      <c r="C164" t="s">
        <v>759</v>
      </c>
      <c r="K164" t="str">
        <f>_xlfn.XLOOKUP(Table9[[#This Row],[admin_name]],$G$2:$G$33,$H$2:$H$33, Table9[[#This Row],[admin_name]])</f>
        <v>Bayern</v>
      </c>
    </row>
    <row r="165" spans="1:11" x14ac:dyDescent="0.55000000000000004">
      <c r="A165" t="s">
        <v>826</v>
      </c>
      <c r="B165" t="s">
        <v>952</v>
      </c>
      <c r="C165" t="s">
        <v>759</v>
      </c>
      <c r="K165" t="str">
        <f>_xlfn.XLOOKUP(Table9[[#This Row],[admin_name]],$G$2:$G$33,$H$2:$H$33, Table9[[#This Row],[admin_name]])</f>
        <v>Bayern</v>
      </c>
    </row>
    <row r="166" spans="1:11" x14ac:dyDescent="0.55000000000000004">
      <c r="A166" t="s">
        <v>536</v>
      </c>
      <c r="B166" t="s">
        <v>536</v>
      </c>
      <c r="C166" t="s">
        <v>759</v>
      </c>
      <c r="K166" t="str">
        <f>_xlfn.XLOOKUP(Table9[[#This Row],[admin_name]],$G$2:$G$33,$H$2:$H$33, Table9[[#This Row],[admin_name]])</f>
        <v>Berlin</v>
      </c>
    </row>
    <row r="167" spans="1:11" x14ac:dyDescent="0.55000000000000004">
      <c r="A167" t="s">
        <v>234</v>
      </c>
      <c r="B167" t="s">
        <v>486</v>
      </c>
      <c r="C167" t="s">
        <v>759</v>
      </c>
      <c r="K167" t="str">
        <f>_xlfn.XLOOKUP(Table9[[#This Row],[admin_name]],$G$2:$G$33,$H$2:$H$33, Table9[[#This Row],[admin_name]])</f>
        <v>Brandenburg</v>
      </c>
    </row>
    <row r="168" spans="1:11" x14ac:dyDescent="0.55000000000000004">
      <c r="A168" t="s">
        <v>514</v>
      </c>
      <c r="B168" t="s">
        <v>486</v>
      </c>
      <c r="C168" t="s">
        <v>759</v>
      </c>
      <c r="K168" t="str">
        <f>_xlfn.XLOOKUP(Table9[[#This Row],[admin_name]],$G$2:$G$33,$H$2:$H$33, Table9[[#This Row],[admin_name]])</f>
        <v>Brandenburg</v>
      </c>
    </row>
    <row r="169" spans="1:11" x14ac:dyDescent="0.55000000000000004">
      <c r="A169" t="s">
        <v>486</v>
      </c>
      <c r="B169" t="s">
        <v>486</v>
      </c>
      <c r="C169" t="s">
        <v>759</v>
      </c>
      <c r="K169" t="str">
        <f>_xlfn.XLOOKUP(Table9[[#This Row],[admin_name]],$G$2:$G$33,$H$2:$H$33, Table9[[#This Row],[admin_name]])</f>
        <v>Brandenburg</v>
      </c>
    </row>
    <row r="170" spans="1:11" x14ac:dyDescent="0.55000000000000004">
      <c r="A170" t="s">
        <v>396</v>
      </c>
      <c r="B170" t="s">
        <v>486</v>
      </c>
      <c r="C170" t="s">
        <v>759</v>
      </c>
      <c r="K170" t="str">
        <f>_xlfn.XLOOKUP(Table9[[#This Row],[admin_name]],$G$2:$G$33,$H$2:$H$33, Table9[[#This Row],[admin_name]])</f>
        <v>Brandenburg</v>
      </c>
    </row>
    <row r="171" spans="1:11" x14ac:dyDescent="0.55000000000000004">
      <c r="A171" t="s">
        <v>122</v>
      </c>
      <c r="B171" t="s">
        <v>486</v>
      </c>
      <c r="C171" t="s">
        <v>759</v>
      </c>
      <c r="K171" t="str">
        <f>_xlfn.XLOOKUP(Table9[[#This Row],[admin_name]],$G$2:$G$33,$H$2:$H$33, Table9[[#This Row],[admin_name]])</f>
        <v>Brandenburg</v>
      </c>
    </row>
    <row r="172" spans="1:11" x14ac:dyDescent="0.55000000000000004">
      <c r="A172" t="s">
        <v>292</v>
      </c>
      <c r="B172" t="s">
        <v>486</v>
      </c>
      <c r="C172" t="s">
        <v>759</v>
      </c>
      <c r="K172" t="str">
        <f>_xlfn.XLOOKUP(Table9[[#This Row],[admin_name]],$G$2:$G$33,$H$2:$H$33, Table9[[#This Row],[admin_name]])</f>
        <v>Brandenburg</v>
      </c>
    </row>
    <row r="173" spans="1:11" x14ac:dyDescent="0.55000000000000004">
      <c r="A173" t="s">
        <v>276</v>
      </c>
      <c r="B173" t="s">
        <v>486</v>
      </c>
      <c r="C173" t="s">
        <v>759</v>
      </c>
      <c r="K173" t="str">
        <f>_xlfn.XLOOKUP(Table9[[#This Row],[admin_name]],$G$2:$G$33,$H$2:$H$33, Table9[[#This Row],[admin_name]])</f>
        <v>Brandenburg</v>
      </c>
    </row>
    <row r="174" spans="1:11" x14ac:dyDescent="0.55000000000000004">
      <c r="A174" t="s">
        <v>500</v>
      </c>
      <c r="B174" t="s">
        <v>486</v>
      </c>
      <c r="C174" t="s">
        <v>759</v>
      </c>
      <c r="K174" t="str">
        <f>_xlfn.XLOOKUP(Table9[[#This Row],[admin_name]],$G$2:$G$33,$H$2:$H$33, Table9[[#This Row],[admin_name]])</f>
        <v>Brandenburg</v>
      </c>
    </row>
    <row r="175" spans="1:11" x14ac:dyDescent="0.55000000000000004">
      <c r="A175" t="s">
        <v>297</v>
      </c>
      <c r="B175" t="s">
        <v>486</v>
      </c>
      <c r="C175" t="s">
        <v>759</v>
      </c>
      <c r="K175" t="str">
        <f>_xlfn.XLOOKUP(Table9[[#This Row],[admin_name]],$G$2:$G$33,$H$2:$H$33, Table9[[#This Row],[admin_name]])</f>
        <v>Brandenburg</v>
      </c>
    </row>
    <row r="176" spans="1:11" x14ac:dyDescent="0.55000000000000004">
      <c r="A176" t="s">
        <v>156</v>
      </c>
      <c r="B176" t="s">
        <v>486</v>
      </c>
      <c r="C176" t="s">
        <v>759</v>
      </c>
      <c r="K176" t="str">
        <f>_xlfn.XLOOKUP(Table9[[#This Row],[admin_name]],$G$2:$G$33,$H$2:$H$33, Table9[[#This Row],[admin_name]])</f>
        <v>Brandenburg</v>
      </c>
    </row>
    <row r="177" spans="1:11" x14ac:dyDescent="0.55000000000000004">
      <c r="A177" t="s">
        <v>97</v>
      </c>
      <c r="B177" t="s">
        <v>486</v>
      </c>
      <c r="C177" t="s">
        <v>759</v>
      </c>
      <c r="K177" t="str">
        <f>_xlfn.XLOOKUP(Table9[[#This Row],[admin_name]],$G$2:$G$33,$H$2:$H$33, Table9[[#This Row],[admin_name]])</f>
        <v>Brandenburg</v>
      </c>
    </row>
    <row r="178" spans="1:11" x14ac:dyDescent="0.55000000000000004">
      <c r="A178" t="s">
        <v>502</v>
      </c>
      <c r="B178" t="s">
        <v>486</v>
      </c>
      <c r="C178" t="s">
        <v>759</v>
      </c>
      <c r="K178" t="str">
        <f>_xlfn.XLOOKUP(Table9[[#This Row],[admin_name]],$G$2:$G$33,$H$2:$H$33, Table9[[#This Row],[admin_name]])</f>
        <v>Brandenburg</v>
      </c>
    </row>
    <row r="179" spans="1:11" x14ac:dyDescent="0.55000000000000004">
      <c r="A179" t="s">
        <v>146</v>
      </c>
      <c r="B179" t="s">
        <v>486</v>
      </c>
      <c r="C179" t="s">
        <v>759</v>
      </c>
      <c r="K179" t="str">
        <f>_xlfn.XLOOKUP(Table9[[#This Row],[admin_name]],$G$2:$G$33,$H$2:$H$33, Table9[[#This Row],[admin_name]])</f>
        <v>Brandenburg</v>
      </c>
    </row>
    <row r="180" spans="1:11" x14ac:dyDescent="0.55000000000000004">
      <c r="A180" t="s">
        <v>83</v>
      </c>
      <c r="B180" t="s">
        <v>486</v>
      </c>
      <c r="C180" t="s">
        <v>759</v>
      </c>
      <c r="K180" t="str">
        <f>_xlfn.XLOOKUP(Table9[[#This Row],[admin_name]],$G$2:$G$33,$H$2:$H$33, Table9[[#This Row],[admin_name]])</f>
        <v>Brandenburg</v>
      </c>
    </row>
    <row r="181" spans="1:11" x14ac:dyDescent="0.55000000000000004">
      <c r="A181" t="s">
        <v>38</v>
      </c>
      <c r="B181" t="s">
        <v>486</v>
      </c>
      <c r="C181" t="s">
        <v>759</v>
      </c>
      <c r="K181" t="str">
        <f>_xlfn.XLOOKUP(Table9[[#This Row],[admin_name]],$G$2:$G$33,$H$2:$H$33, Table9[[#This Row],[admin_name]])</f>
        <v>Brandenburg</v>
      </c>
    </row>
    <row r="182" spans="1:11" x14ac:dyDescent="0.55000000000000004">
      <c r="A182" t="s">
        <v>189</v>
      </c>
      <c r="B182" t="s">
        <v>486</v>
      </c>
      <c r="C182" t="s">
        <v>759</v>
      </c>
      <c r="K182" t="str">
        <f>_xlfn.XLOOKUP(Table9[[#This Row],[admin_name]],$G$2:$G$33,$H$2:$H$33, Table9[[#This Row],[admin_name]])</f>
        <v>Brandenburg</v>
      </c>
    </row>
    <row r="183" spans="1:11" x14ac:dyDescent="0.55000000000000004">
      <c r="A183" t="s">
        <v>333</v>
      </c>
      <c r="B183" t="s">
        <v>486</v>
      </c>
      <c r="C183" t="s">
        <v>759</v>
      </c>
      <c r="K183" t="str">
        <f>_xlfn.XLOOKUP(Table9[[#This Row],[admin_name]],$G$2:$G$33,$H$2:$H$33, Table9[[#This Row],[admin_name]])</f>
        <v>Brandenburg</v>
      </c>
    </row>
    <row r="184" spans="1:11" x14ac:dyDescent="0.55000000000000004">
      <c r="A184" t="s">
        <v>188</v>
      </c>
      <c r="B184" t="s">
        <v>486</v>
      </c>
      <c r="C184" t="s">
        <v>759</v>
      </c>
      <c r="K184" t="str">
        <f>_xlfn.XLOOKUP(Table9[[#This Row],[admin_name]],$G$2:$G$33,$H$2:$H$33, Table9[[#This Row],[admin_name]])</f>
        <v>Brandenburg</v>
      </c>
    </row>
    <row r="185" spans="1:11" x14ac:dyDescent="0.55000000000000004">
      <c r="A185" t="s">
        <v>489</v>
      </c>
      <c r="B185" t="s">
        <v>486</v>
      </c>
      <c r="C185" t="s">
        <v>759</v>
      </c>
      <c r="K185" t="str">
        <f>_xlfn.XLOOKUP(Table9[[#This Row],[admin_name]],$G$2:$G$33,$H$2:$H$33, Table9[[#This Row],[admin_name]])</f>
        <v>Brandenburg</v>
      </c>
    </row>
    <row r="186" spans="1:11" x14ac:dyDescent="0.55000000000000004">
      <c r="A186" t="s">
        <v>203</v>
      </c>
      <c r="B186" t="s">
        <v>486</v>
      </c>
      <c r="C186" t="s">
        <v>759</v>
      </c>
      <c r="K186" t="str">
        <f>_xlfn.XLOOKUP(Table9[[#This Row],[admin_name]],$G$2:$G$33,$H$2:$H$33, Table9[[#This Row],[admin_name]])</f>
        <v>Brandenburg</v>
      </c>
    </row>
    <row r="187" spans="1:11" x14ac:dyDescent="0.55000000000000004">
      <c r="A187" t="s">
        <v>306</v>
      </c>
      <c r="B187" t="s">
        <v>486</v>
      </c>
      <c r="C187" t="s">
        <v>759</v>
      </c>
      <c r="K187" t="str">
        <f>_xlfn.XLOOKUP(Table9[[#This Row],[admin_name]],$G$2:$G$33,$H$2:$H$33, Table9[[#This Row],[admin_name]])</f>
        <v>Brandenburg</v>
      </c>
    </row>
    <row r="188" spans="1:11" x14ac:dyDescent="0.55000000000000004">
      <c r="A188" t="s">
        <v>783</v>
      </c>
      <c r="B188" t="s">
        <v>486</v>
      </c>
      <c r="C188" t="s">
        <v>759</v>
      </c>
      <c r="K188" t="str">
        <f>_xlfn.XLOOKUP(Table9[[#This Row],[admin_name]],$G$2:$G$33,$H$2:$H$33, Table9[[#This Row],[admin_name]])</f>
        <v>Brandenburg</v>
      </c>
    </row>
    <row r="189" spans="1:11" x14ac:dyDescent="0.55000000000000004">
      <c r="A189" t="s">
        <v>792</v>
      </c>
      <c r="B189" t="s">
        <v>486</v>
      </c>
      <c r="C189" t="s">
        <v>759</v>
      </c>
      <c r="K189" t="str">
        <f>_xlfn.XLOOKUP(Table9[[#This Row],[admin_name]],$G$2:$G$33,$H$2:$H$33, Table9[[#This Row],[admin_name]])</f>
        <v>Brandenburg</v>
      </c>
    </row>
    <row r="190" spans="1:11" x14ac:dyDescent="0.55000000000000004">
      <c r="A190" t="s">
        <v>804</v>
      </c>
      <c r="B190" t="s">
        <v>486</v>
      </c>
      <c r="C190" t="s">
        <v>759</v>
      </c>
      <c r="K190" t="str">
        <f>_xlfn.XLOOKUP(Table9[[#This Row],[admin_name]],$G$2:$G$33,$H$2:$H$33, Table9[[#This Row],[admin_name]])</f>
        <v>Brandenburg</v>
      </c>
    </row>
    <row r="191" spans="1:11" x14ac:dyDescent="0.55000000000000004">
      <c r="A191" t="s">
        <v>808</v>
      </c>
      <c r="B191" t="s">
        <v>486</v>
      </c>
      <c r="C191" t="s">
        <v>759</v>
      </c>
      <c r="K191" t="str">
        <f>_xlfn.XLOOKUP(Table9[[#This Row],[admin_name]],$G$2:$G$33,$H$2:$H$33, Table9[[#This Row],[admin_name]])</f>
        <v>Brandenburg</v>
      </c>
    </row>
    <row r="192" spans="1:11" x14ac:dyDescent="0.55000000000000004">
      <c r="A192" t="s">
        <v>815</v>
      </c>
      <c r="B192" t="s">
        <v>486</v>
      </c>
      <c r="C192" t="s">
        <v>759</v>
      </c>
      <c r="K192" t="str">
        <f>_xlfn.XLOOKUP(Table9[[#This Row],[admin_name]],$G$2:$G$33,$H$2:$H$33, Table9[[#This Row],[admin_name]])</f>
        <v>Brandenburg</v>
      </c>
    </row>
    <row r="193" spans="1:11" x14ac:dyDescent="0.55000000000000004">
      <c r="A193" t="s">
        <v>538</v>
      </c>
      <c r="B193" t="s">
        <v>538</v>
      </c>
      <c r="C193" t="s">
        <v>759</v>
      </c>
      <c r="K193" t="str">
        <f>_xlfn.XLOOKUP(Table9[[#This Row],[admin_name]],$G$2:$G$33,$H$2:$H$33, Table9[[#This Row],[admin_name]])</f>
        <v>Bremen</v>
      </c>
    </row>
    <row r="194" spans="1:11" x14ac:dyDescent="0.55000000000000004">
      <c r="A194" t="s">
        <v>28</v>
      </c>
      <c r="B194" t="s">
        <v>538</v>
      </c>
      <c r="C194" t="s">
        <v>759</v>
      </c>
      <c r="K194" t="str">
        <f>_xlfn.XLOOKUP(Table9[[#This Row],[admin_name]],$G$2:$G$33,$H$2:$H$33, Table9[[#This Row],[admin_name]])</f>
        <v>Bremen</v>
      </c>
    </row>
    <row r="195" spans="1:11" x14ac:dyDescent="0.55000000000000004">
      <c r="A195" t="s">
        <v>13</v>
      </c>
      <c r="B195" t="s">
        <v>13</v>
      </c>
      <c r="C195" t="s">
        <v>759</v>
      </c>
      <c r="K195" t="str">
        <f>_xlfn.XLOOKUP(Table9[[#This Row],[admin_name]],$G$2:$G$33,$H$2:$H$33, Table9[[#This Row],[admin_name]])</f>
        <v>Hamburg</v>
      </c>
    </row>
    <row r="196" spans="1:11" x14ac:dyDescent="0.55000000000000004">
      <c r="A196" t="s">
        <v>541</v>
      </c>
      <c r="B196" t="s">
        <v>953</v>
      </c>
      <c r="C196" t="s">
        <v>759</v>
      </c>
      <c r="K196" t="str">
        <f>_xlfn.XLOOKUP(Table9[[#This Row],[admin_name]],$G$2:$G$33,$H$2:$H$33, Table9[[#This Row],[admin_name]])</f>
        <v>Hessen</v>
      </c>
    </row>
    <row r="197" spans="1:11" x14ac:dyDescent="0.55000000000000004">
      <c r="A197" t="s">
        <v>177</v>
      </c>
      <c r="B197" t="s">
        <v>953</v>
      </c>
      <c r="C197" t="s">
        <v>759</v>
      </c>
      <c r="K197" t="str">
        <f>_xlfn.XLOOKUP(Table9[[#This Row],[admin_name]],$G$2:$G$33,$H$2:$H$33, Table9[[#This Row],[admin_name]])</f>
        <v>Hessen</v>
      </c>
    </row>
    <row r="198" spans="1:11" x14ac:dyDescent="0.55000000000000004">
      <c r="A198" t="s">
        <v>272</v>
      </c>
      <c r="B198" t="s">
        <v>953</v>
      </c>
      <c r="C198" t="s">
        <v>759</v>
      </c>
      <c r="K198" t="str">
        <f>_xlfn.XLOOKUP(Table9[[#This Row],[admin_name]],$G$2:$G$33,$H$2:$H$33, Table9[[#This Row],[admin_name]])</f>
        <v>Hessen</v>
      </c>
    </row>
    <row r="199" spans="1:11" x14ac:dyDescent="0.55000000000000004">
      <c r="A199" t="s">
        <v>22</v>
      </c>
      <c r="B199" t="s">
        <v>953</v>
      </c>
      <c r="C199" t="s">
        <v>759</v>
      </c>
      <c r="K199" t="str">
        <f>_xlfn.XLOOKUP(Table9[[#This Row],[admin_name]],$G$2:$G$33,$H$2:$H$33, Table9[[#This Row],[admin_name]])</f>
        <v>Hessen</v>
      </c>
    </row>
    <row r="200" spans="1:11" x14ac:dyDescent="0.55000000000000004">
      <c r="A200" t="s">
        <v>470</v>
      </c>
      <c r="B200" t="s">
        <v>953</v>
      </c>
      <c r="C200" t="s">
        <v>759</v>
      </c>
      <c r="K200" t="str">
        <f>_xlfn.XLOOKUP(Table9[[#This Row],[admin_name]],$G$2:$G$33,$H$2:$H$33, Table9[[#This Row],[admin_name]])</f>
        <v>Hessen</v>
      </c>
    </row>
    <row r="201" spans="1:11" x14ac:dyDescent="0.55000000000000004">
      <c r="A201" t="s">
        <v>349</v>
      </c>
      <c r="B201" t="s">
        <v>953</v>
      </c>
      <c r="C201" t="s">
        <v>759</v>
      </c>
      <c r="K201" t="str">
        <f>_xlfn.XLOOKUP(Table9[[#This Row],[admin_name]],$G$2:$G$33,$H$2:$H$33, Table9[[#This Row],[admin_name]])</f>
        <v>Hessen</v>
      </c>
    </row>
    <row r="202" spans="1:11" x14ac:dyDescent="0.55000000000000004">
      <c r="A202" t="s">
        <v>223</v>
      </c>
      <c r="B202" t="s">
        <v>953</v>
      </c>
      <c r="C202" t="s">
        <v>759</v>
      </c>
      <c r="K202" t="str">
        <f>_xlfn.XLOOKUP(Table9[[#This Row],[admin_name]],$G$2:$G$33,$H$2:$H$33, Table9[[#This Row],[admin_name]])</f>
        <v>Hessen</v>
      </c>
    </row>
    <row r="203" spans="1:11" x14ac:dyDescent="0.55000000000000004">
      <c r="A203" t="s">
        <v>65</v>
      </c>
      <c r="B203" t="s">
        <v>953</v>
      </c>
      <c r="C203" t="s">
        <v>759</v>
      </c>
      <c r="K203" t="str">
        <f>_xlfn.XLOOKUP(Table9[[#This Row],[admin_name]],$G$2:$G$33,$H$2:$H$33, Table9[[#This Row],[admin_name]])</f>
        <v>Hessen</v>
      </c>
    </row>
    <row r="204" spans="1:11" x14ac:dyDescent="0.55000000000000004">
      <c r="A204" t="s">
        <v>415</v>
      </c>
      <c r="B204" t="s">
        <v>953</v>
      </c>
      <c r="C204" t="s">
        <v>759</v>
      </c>
      <c r="K204" t="str">
        <f>_xlfn.XLOOKUP(Table9[[#This Row],[admin_name]],$G$2:$G$33,$H$2:$H$33, Table9[[#This Row],[admin_name]])</f>
        <v>Hessen</v>
      </c>
    </row>
    <row r="205" spans="1:11" x14ac:dyDescent="0.55000000000000004">
      <c r="A205" t="s">
        <v>530</v>
      </c>
      <c r="B205" t="s">
        <v>953</v>
      </c>
      <c r="C205" t="s">
        <v>759</v>
      </c>
      <c r="K205" t="str">
        <f>_xlfn.XLOOKUP(Table9[[#This Row],[admin_name]],$G$2:$G$33,$H$2:$H$33, Table9[[#This Row],[admin_name]])</f>
        <v>Hessen</v>
      </c>
    </row>
    <row r="206" spans="1:11" x14ac:dyDescent="0.55000000000000004">
      <c r="A206" t="s">
        <v>90</v>
      </c>
      <c r="B206" t="s">
        <v>953</v>
      </c>
      <c r="C206" t="s">
        <v>759</v>
      </c>
      <c r="K206" t="str">
        <f>_xlfn.XLOOKUP(Table9[[#This Row],[admin_name]],$G$2:$G$33,$H$2:$H$33, Table9[[#This Row],[admin_name]])</f>
        <v>Hessen</v>
      </c>
    </row>
    <row r="207" spans="1:11" x14ac:dyDescent="0.55000000000000004">
      <c r="A207" t="s">
        <v>512</v>
      </c>
      <c r="B207" t="s">
        <v>953</v>
      </c>
      <c r="C207" t="s">
        <v>759</v>
      </c>
      <c r="K207" t="str">
        <f>_xlfn.XLOOKUP(Table9[[#This Row],[admin_name]],$G$2:$G$33,$H$2:$H$33, Table9[[#This Row],[admin_name]])</f>
        <v>Hessen</v>
      </c>
    </row>
    <row r="208" spans="1:11" x14ac:dyDescent="0.55000000000000004">
      <c r="A208" t="s">
        <v>252</v>
      </c>
      <c r="B208" t="s">
        <v>953</v>
      </c>
      <c r="C208" t="s">
        <v>759</v>
      </c>
      <c r="K208" t="str">
        <f>_xlfn.XLOOKUP(Table9[[#This Row],[admin_name]],$G$2:$G$33,$H$2:$H$33, Table9[[#This Row],[admin_name]])</f>
        <v>Hessen</v>
      </c>
    </row>
    <row r="209" spans="1:11" x14ac:dyDescent="0.55000000000000004">
      <c r="A209" t="s">
        <v>71</v>
      </c>
      <c r="B209" t="s">
        <v>953</v>
      </c>
      <c r="C209" t="s">
        <v>759</v>
      </c>
      <c r="K209" t="str">
        <f>_xlfn.XLOOKUP(Table9[[#This Row],[admin_name]],$G$2:$G$33,$H$2:$H$33, Table9[[#This Row],[admin_name]])</f>
        <v>Hessen</v>
      </c>
    </row>
    <row r="210" spans="1:11" x14ac:dyDescent="0.55000000000000004">
      <c r="A210" t="s">
        <v>217</v>
      </c>
      <c r="B210" t="s">
        <v>953</v>
      </c>
      <c r="C210" t="s">
        <v>759</v>
      </c>
      <c r="K210" t="str">
        <f>_xlfn.XLOOKUP(Table9[[#This Row],[admin_name]],$G$2:$G$33,$H$2:$H$33, Table9[[#This Row],[admin_name]])</f>
        <v>Hessen</v>
      </c>
    </row>
    <row r="211" spans="1:11" x14ac:dyDescent="0.55000000000000004">
      <c r="A211" t="s">
        <v>23</v>
      </c>
      <c r="B211" t="s">
        <v>953</v>
      </c>
      <c r="C211" t="s">
        <v>759</v>
      </c>
      <c r="K211" t="str">
        <f>_xlfn.XLOOKUP(Table9[[#This Row],[admin_name]],$G$2:$G$33,$H$2:$H$33, Table9[[#This Row],[admin_name]])</f>
        <v>Hessen</v>
      </c>
    </row>
    <row r="212" spans="1:11" x14ac:dyDescent="0.55000000000000004">
      <c r="A212" t="s">
        <v>387</v>
      </c>
      <c r="B212" t="s">
        <v>953</v>
      </c>
      <c r="C212" t="s">
        <v>759</v>
      </c>
      <c r="K212" t="str">
        <f>_xlfn.XLOOKUP(Table9[[#This Row],[admin_name]],$G$2:$G$33,$H$2:$H$33, Table9[[#This Row],[admin_name]])</f>
        <v>Hessen</v>
      </c>
    </row>
    <row r="213" spans="1:11" x14ac:dyDescent="0.55000000000000004">
      <c r="A213" t="s">
        <v>167</v>
      </c>
      <c r="B213" t="s">
        <v>953</v>
      </c>
      <c r="C213" t="s">
        <v>759</v>
      </c>
      <c r="K213" t="str">
        <f>_xlfn.XLOOKUP(Table9[[#This Row],[admin_name]],$G$2:$G$33,$H$2:$H$33, Table9[[#This Row],[admin_name]])</f>
        <v>Hessen</v>
      </c>
    </row>
    <row r="214" spans="1:11" x14ac:dyDescent="0.55000000000000004">
      <c r="A214" t="s">
        <v>421</v>
      </c>
      <c r="B214" t="s">
        <v>953</v>
      </c>
      <c r="C214" t="s">
        <v>759</v>
      </c>
      <c r="K214" t="str">
        <f>_xlfn.XLOOKUP(Table9[[#This Row],[admin_name]],$G$2:$G$33,$H$2:$H$33, Table9[[#This Row],[admin_name]])</f>
        <v>Hessen</v>
      </c>
    </row>
    <row r="215" spans="1:11" x14ac:dyDescent="0.55000000000000004">
      <c r="A215" t="s">
        <v>300</v>
      </c>
      <c r="B215" t="s">
        <v>953</v>
      </c>
      <c r="C215" t="s">
        <v>759</v>
      </c>
      <c r="K215" t="str">
        <f>_xlfn.XLOOKUP(Table9[[#This Row],[admin_name]],$G$2:$G$33,$H$2:$H$33, Table9[[#This Row],[admin_name]])</f>
        <v>Hessen</v>
      </c>
    </row>
    <row r="216" spans="1:11" x14ac:dyDescent="0.55000000000000004">
      <c r="A216" t="s">
        <v>288</v>
      </c>
      <c r="B216" t="s">
        <v>953</v>
      </c>
      <c r="C216" t="s">
        <v>759</v>
      </c>
      <c r="K216" t="str">
        <f>_xlfn.XLOOKUP(Table9[[#This Row],[admin_name]],$G$2:$G$33,$H$2:$H$33, Table9[[#This Row],[admin_name]])</f>
        <v>Hessen</v>
      </c>
    </row>
    <row r="217" spans="1:11" x14ac:dyDescent="0.55000000000000004">
      <c r="A217" t="s">
        <v>107</v>
      </c>
      <c r="B217" t="s">
        <v>953</v>
      </c>
      <c r="C217" t="s">
        <v>759</v>
      </c>
      <c r="K217" t="str">
        <f>_xlfn.XLOOKUP(Table9[[#This Row],[admin_name]],$G$2:$G$33,$H$2:$H$33, Table9[[#This Row],[admin_name]])</f>
        <v>Hessen</v>
      </c>
    </row>
    <row r="218" spans="1:11" x14ac:dyDescent="0.55000000000000004">
      <c r="A218" t="s">
        <v>523</v>
      </c>
      <c r="B218" t="s">
        <v>953</v>
      </c>
      <c r="C218" t="s">
        <v>759</v>
      </c>
      <c r="K218" t="str">
        <f>_xlfn.XLOOKUP(Table9[[#This Row],[admin_name]],$G$2:$G$33,$H$2:$H$33, Table9[[#This Row],[admin_name]])</f>
        <v>Hessen</v>
      </c>
    </row>
    <row r="219" spans="1:11" x14ac:dyDescent="0.55000000000000004">
      <c r="A219" t="s">
        <v>507</v>
      </c>
      <c r="B219" t="s">
        <v>953</v>
      </c>
      <c r="C219" t="s">
        <v>759</v>
      </c>
      <c r="K219" t="str">
        <f>_xlfn.XLOOKUP(Table9[[#This Row],[admin_name]],$G$2:$G$33,$H$2:$H$33, Table9[[#This Row],[admin_name]])</f>
        <v>Hessen</v>
      </c>
    </row>
    <row r="220" spans="1:11" x14ac:dyDescent="0.55000000000000004">
      <c r="A220" t="s">
        <v>254</v>
      </c>
      <c r="B220" t="s">
        <v>953</v>
      </c>
      <c r="C220" t="s">
        <v>759</v>
      </c>
      <c r="K220" t="str">
        <f>_xlfn.XLOOKUP(Table9[[#This Row],[admin_name]],$G$2:$G$33,$H$2:$H$33, Table9[[#This Row],[admin_name]])</f>
        <v>Hessen</v>
      </c>
    </row>
    <row r="221" spans="1:11" x14ac:dyDescent="0.55000000000000004">
      <c r="A221" t="s">
        <v>282</v>
      </c>
      <c r="B221" t="s">
        <v>953</v>
      </c>
      <c r="C221" t="s">
        <v>759</v>
      </c>
      <c r="K221" t="str">
        <f>_xlfn.XLOOKUP(Table9[[#This Row],[admin_name]],$G$2:$G$33,$H$2:$H$33, Table9[[#This Row],[admin_name]])</f>
        <v>Hessen</v>
      </c>
    </row>
    <row r="222" spans="1:11" x14ac:dyDescent="0.55000000000000004">
      <c r="A222" t="s">
        <v>162</v>
      </c>
      <c r="B222" t="s">
        <v>953</v>
      </c>
      <c r="C222" t="s">
        <v>759</v>
      </c>
      <c r="K222" t="str">
        <f>_xlfn.XLOOKUP(Table9[[#This Row],[admin_name]],$G$2:$G$33,$H$2:$H$33, Table9[[#This Row],[admin_name]])</f>
        <v>Hessen</v>
      </c>
    </row>
    <row r="223" spans="1:11" x14ac:dyDescent="0.55000000000000004">
      <c r="A223" t="s">
        <v>81</v>
      </c>
      <c r="B223" t="s">
        <v>953</v>
      </c>
      <c r="C223" t="s">
        <v>759</v>
      </c>
      <c r="K223" t="str">
        <f>_xlfn.XLOOKUP(Table9[[#This Row],[admin_name]],$G$2:$G$33,$H$2:$H$33, Table9[[#This Row],[admin_name]])</f>
        <v>Hessen</v>
      </c>
    </row>
    <row r="224" spans="1:11" x14ac:dyDescent="0.55000000000000004">
      <c r="A224" t="s">
        <v>459</v>
      </c>
      <c r="B224" t="s">
        <v>953</v>
      </c>
      <c r="C224" t="s">
        <v>759</v>
      </c>
      <c r="K224" t="str">
        <f>_xlfn.XLOOKUP(Table9[[#This Row],[admin_name]],$G$2:$G$33,$H$2:$H$33, Table9[[#This Row],[admin_name]])</f>
        <v>Hessen</v>
      </c>
    </row>
    <row r="225" spans="1:11" x14ac:dyDescent="0.55000000000000004">
      <c r="A225" t="s">
        <v>121</v>
      </c>
      <c r="B225" t="s">
        <v>953</v>
      </c>
      <c r="C225" t="s">
        <v>759</v>
      </c>
      <c r="K225" t="str">
        <f>_xlfn.XLOOKUP(Table9[[#This Row],[admin_name]],$G$2:$G$33,$H$2:$H$33, Table9[[#This Row],[admin_name]])</f>
        <v>Hessen</v>
      </c>
    </row>
    <row r="226" spans="1:11" x14ac:dyDescent="0.55000000000000004">
      <c r="A226" t="s">
        <v>385</v>
      </c>
      <c r="B226" t="s">
        <v>953</v>
      </c>
      <c r="C226" t="s">
        <v>759</v>
      </c>
      <c r="K226" t="str">
        <f>_xlfn.XLOOKUP(Table9[[#This Row],[admin_name]],$G$2:$G$33,$H$2:$H$33, Table9[[#This Row],[admin_name]])</f>
        <v>Hessen</v>
      </c>
    </row>
    <row r="227" spans="1:11" x14ac:dyDescent="0.55000000000000004">
      <c r="A227" t="s">
        <v>279</v>
      </c>
      <c r="B227" t="s">
        <v>953</v>
      </c>
      <c r="C227" t="s">
        <v>759</v>
      </c>
      <c r="K227" t="str">
        <f>_xlfn.XLOOKUP(Table9[[#This Row],[admin_name]],$G$2:$G$33,$H$2:$H$33, Table9[[#This Row],[admin_name]])</f>
        <v>Hessen</v>
      </c>
    </row>
    <row r="228" spans="1:11" x14ac:dyDescent="0.55000000000000004">
      <c r="A228" t="s">
        <v>334</v>
      </c>
      <c r="B228" t="s">
        <v>953</v>
      </c>
      <c r="C228" t="s">
        <v>759</v>
      </c>
      <c r="K228" t="str">
        <f>_xlfn.XLOOKUP(Table9[[#This Row],[admin_name]],$G$2:$G$33,$H$2:$H$33, Table9[[#This Row],[admin_name]])</f>
        <v>Hessen</v>
      </c>
    </row>
    <row r="229" spans="1:11" x14ac:dyDescent="0.55000000000000004">
      <c r="A229" t="s">
        <v>329</v>
      </c>
      <c r="B229" t="s">
        <v>953</v>
      </c>
      <c r="C229" t="s">
        <v>759</v>
      </c>
      <c r="K229" t="str">
        <f>_xlfn.XLOOKUP(Table9[[#This Row],[admin_name]],$G$2:$G$33,$H$2:$H$33, Table9[[#This Row],[admin_name]])</f>
        <v>Hessen</v>
      </c>
    </row>
    <row r="230" spans="1:11" x14ac:dyDescent="0.55000000000000004">
      <c r="A230" t="s">
        <v>485</v>
      </c>
      <c r="B230" t="s">
        <v>953</v>
      </c>
      <c r="C230" t="s">
        <v>759</v>
      </c>
      <c r="K230" t="str">
        <f>_xlfn.XLOOKUP(Table9[[#This Row],[admin_name]],$G$2:$G$33,$H$2:$H$33, Table9[[#This Row],[admin_name]])</f>
        <v>Hessen</v>
      </c>
    </row>
    <row r="231" spans="1:11" x14ac:dyDescent="0.55000000000000004">
      <c r="A231" t="s">
        <v>72</v>
      </c>
      <c r="B231" t="s">
        <v>953</v>
      </c>
      <c r="C231" t="s">
        <v>759</v>
      </c>
      <c r="K231" t="str">
        <f>_xlfn.XLOOKUP(Table9[[#This Row],[admin_name]],$G$2:$G$33,$H$2:$H$33, Table9[[#This Row],[admin_name]])</f>
        <v>Hessen</v>
      </c>
    </row>
    <row r="232" spans="1:11" x14ac:dyDescent="0.55000000000000004">
      <c r="A232" t="s">
        <v>151</v>
      </c>
      <c r="B232" t="s">
        <v>953</v>
      </c>
      <c r="C232" t="s">
        <v>759</v>
      </c>
      <c r="K232" t="str">
        <f>_xlfn.XLOOKUP(Table9[[#This Row],[admin_name]],$G$2:$G$33,$H$2:$H$33, Table9[[#This Row],[admin_name]])</f>
        <v>Hessen</v>
      </c>
    </row>
    <row r="233" spans="1:11" x14ac:dyDescent="0.55000000000000004">
      <c r="A233" t="s">
        <v>447</v>
      </c>
      <c r="B233" t="s">
        <v>953</v>
      </c>
      <c r="C233" t="s">
        <v>759</v>
      </c>
      <c r="K233" t="str">
        <f>_xlfn.XLOOKUP(Table9[[#This Row],[admin_name]],$G$2:$G$33,$H$2:$H$33, Table9[[#This Row],[admin_name]])</f>
        <v>Hessen</v>
      </c>
    </row>
    <row r="234" spans="1:11" x14ac:dyDescent="0.55000000000000004">
      <c r="A234" t="s">
        <v>519</v>
      </c>
      <c r="B234" t="s">
        <v>953</v>
      </c>
      <c r="C234" t="s">
        <v>759</v>
      </c>
      <c r="K234" t="str">
        <f>_xlfn.XLOOKUP(Table9[[#This Row],[admin_name]],$G$2:$G$33,$H$2:$H$33, Table9[[#This Row],[admin_name]])</f>
        <v>Hessen</v>
      </c>
    </row>
    <row r="235" spans="1:11" x14ac:dyDescent="0.55000000000000004">
      <c r="A235" t="s">
        <v>50</v>
      </c>
      <c r="B235" t="s">
        <v>953</v>
      </c>
      <c r="C235" t="s">
        <v>759</v>
      </c>
      <c r="K235" t="str">
        <f>_xlfn.XLOOKUP(Table9[[#This Row],[admin_name]],$G$2:$G$33,$H$2:$H$33, Table9[[#This Row],[admin_name]])</f>
        <v>Hessen</v>
      </c>
    </row>
    <row r="236" spans="1:11" x14ac:dyDescent="0.55000000000000004">
      <c r="A236" t="s">
        <v>382</v>
      </c>
      <c r="B236" t="s">
        <v>953</v>
      </c>
      <c r="C236" t="s">
        <v>759</v>
      </c>
      <c r="K236" t="str">
        <f>_xlfn.XLOOKUP(Table9[[#This Row],[admin_name]],$G$2:$G$33,$H$2:$H$33, Table9[[#This Row],[admin_name]])</f>
        <v>Hessen</v>
      </c>
    </row>
    <row r="237" spans="1:11" x14ac:dyDescent="0.55000000000000004">
      <c r="A237" t="s">
        <v>56</v>
      </c>
      <c r="B237" t="s">
        <v>953</v>
      </c>
      <c r="C237" t="s">
        <v>759</v>
      </c>
      <c r="K237" t="str">
        <f>_xlfn.XLOOKUP(Table9[[#This Row],[admin_name]],$G$2:$G$33,$H$2:$H$33, Table9[[#This Row],[admin_name]])</f>
        <v>Hessen</v>
      </c>
    </row>
    <row r="238" spans="1:11" x14ac:dyDescent="0.55000000000000004">
      <c r="A238" t="s">
        <v>785</v>
      </c>
      <c r="B238" t="s">
        <v>953</v>
      </c>
      <c r="C238" t="s">
        <v>759</v>
      </c>
      <c r="K238" t="str">
        <f>_xlfn.XLOOKUP(Table9[[#This Row],[admin_name]],$G$2:$G$33,$H$2:$H$33, Table9[[#This Row],[admin_name]])</f>
        <v>Hessen</v>
      </c>
    </row>
    <row r="239" spans="1:11" x14ac:dyDescent="0.55000000000000004">
      <c r="A239" t="s">
        <v>786</v>
      </c>
      <c r="B239" t="s">
        <v>953</v>
      </c>
      <c r="C239" t="s">
        <v>759</v>
      </c>
      <c r="K239" t="str">
        <f>_xlfn.XLOOKUP(Table9[[#This Row],[admin_name]],$G$2:$G$33,$H$2:$H$33, Table9[[#This Row],[admin_name]])</f>
        <v>Hessen</v>
      </c>
    </row>
    <row r="240" spans="1:11" x14ac:dyDescent="0.55000000000000004">
      <c r="A240" t="s">
        <v>796</v>
      </c>
      <c r="B240" t="s">
        <v>953</v>
      </c>
      <c r="C240" t="s">
        <v>759</v>
      </c>
      <c r="K240" t="str">
        <f>_xlfn.XLOOKUP(Table9[[#This Row],[admin_name]],$G$2:$G$33,$H$2:$H$33, Table9[[#This Row],[admin_name]])</f>
        <v>Hessen</v>
      </c>
    </row>
    <row r="241" spans="1:11" x14ac:dyDescent="0.55000000000000004">
      <c r="A241" t="s">
        <v>818</v>
      </c>
      <c r="B241" t="s">
        <v>953</v>
      </c>
      <c r="C241" t="s">
        <v>759</v>
      </c>
      <c r="K241" t="str">
        <f>_xlfn.XLOOKUP(Table9[[#This Row],[admin_name]],$G$2:$G$33,$H$2:$H$33, Table9[[#This Row],[admin_name]])</f>
        <v>Hessen</v>
      </c>
    </row>
    <row r="242" spans="1:11" x14ac:dyDescent="0.55000000000000004">
      <c r="A242" t="s">
        <v>109</v>
      </c>
      <c r="B242" t="s">
        <v>953</v>
      </c>
      <c r="C242" t="s">
        <v>759</v>
      </c>
      <c r="K242" t="str">
        <f>_xlfn.XLOOKUP(Table9[[#This Row],[admin_name]],$G$2:$G$33,$H$2:$H$33, Table9[[#This Row],[admin_name]])</f>
        <v>Hessen</v>
      </c>
    </row>
    <row r="243" spans="1:11" x14ac:dyDescent="0.55000000000000004">
      <c r="A243" t="s">
        <v>825</v>
      </c>
      <c r="B243" t="s">
        <v>953</v>
      </c>
      <c r="C243" t="s">
        <v>759</v>
      </c>
      <c r="K243" t="str">
        <f>_xlfn.XLOOKUP(Table9[[#This Row],[admin_name]],$G$2:$G$33,$H$2:$H$33, Table9[[#This Row],[admin_name]])</f>
        <v>Hessen</v>
      </c>
    </row>
    <row r="244" spans="1:11" x14ac:dyDescent="0.55000000000000004">
      <c r="A244" t="s">
        <v>351</v>
      </c>
      <c r="B244" t="s">
        <v>954</v>
      </c>
      <c r="C244" t="s">
        <v>759</v>
      </c>
      <c r="K244" t="str">
        <f>_xlfn.XLOOKUP(Table9[[#This Row],[admin_name]],$G$2:$G$33,$H$2:$H$33, Table9[[#This Row],[admin_name]])</f>
        <v>Niedersachsen</v>
      </c>
    </row>
    <row r="245" spans="1:11" x14ac:dyDescent="0.55000000000000004">
      <c r="A245" t="s">
        <v>522</v>
      </c>
      <c r="B245" t="s">
        <v>954</v>
      </c>
      <c r="C245" t="s">
        <v>759</v>
      </c>
      <c r="K245" t="str">
        <f>_xlfn.XLOOKUP(Table9[[#This Row],[admin_name]],$G$2:$G$33,$H$2:$H$33, Table9[[#This Row],[admin_name]])</f>
        <v>Niedersachsen</v>
      </c>
    </row>
    <row r="246" spans="1:11" x14ac:dyDescent="0.55000000000000004">
      <c r="A246" t="s">
        <v>499</v>
      </c>
      <c r="B246" t="s">
        <v>954</v>
      </c>
      <c r="C246" t="s">
        <v>759</v>
      </c>
      <c r="K246" t="str">
        <f>_xlfn.XLOOKUP(Table9[[#This Row],[admin_name]],$G$2:$G$33,$H$2:$H$33, Table9[[#This Row],[admin_name]])</f>
        <v>Niedersachsen</v>
      </c>
    </row>
    <row r="247" spans="1:11" x14ac:dyDescent="0.55000000000000004">
      <c r="A247" t="s">
        <v>32</v>
      </c>
      <c r="B247" t="s">
        <v>954</v>
      </c>
      <c r="C247" t="s">
        <v>759</v>
      </c>
      <c r="K247" t="str">
        <f>_xlfn.XLOOKUP(Table9[[#This Row],[admin_name]],$G$2:$G$33,$H$2:$H$33, Table9[[#This Row],[admin_name]])</f>
        <v>Niedersachsen</v>
      </c>
    </row>
    <row r="248" spans="1:11" x14ac:dyDescent="0.55000000000000004">
      <c r="A248" t="s">
        <v>15</v>
      </c>
      <c r="B248" t="s">
        <v>954</v>
      </c>
      <c r="C248" t="s">
        <v>759</v>
      </c>
      <c r="K248" t="str">
        <f>_xlfn.XLOOKUP(Table9[[#This Row],[admin_name]],$G$2:$G$33,$H$2:$H$33, Table9[[#This Row],[admin_name]])</f>
        <v>Niedersachsen</v>
      </c>
    </row>
    <row r="249" spans="1:11" x14ac:dyDescent="0.55000000000000004">
      <c r="A249" t="s">
        <v>260</v>
      </c>
      <c r="B249" t="s">
        <v>954</v>
      </c>
      <c r="C249" t="s">
        <v>759</v>
      </c>
      <c r="K249" t="str">
        <f>_xlfn.XLOOKUP(Table9[[#This Row],[admin_name]],$G$2:$G$33,$H$2:$H$33, Table9[[#This Row],[admin_name]])</f>
        <v>Niedersachsen</v>
      </c>
    </row>
    <row r="250" spans="1:11" x14ac:dyDescent="0.55000000000000004">
      <c r="A250" t="s">
        <v>103</v>
      </c>
      <c r="B250" t="s">
        <v>954</v>
      </c>
      <c r="C250" t="s">
        <v>759</v>
      </c>
      <c r="K250" t="str">
        <f>_xlfn.XLOOKUP(Table9[[#This Row],[admin_name]],$G$2:$G$33,$H$2:$H$33, Table9[[#This Row],[admin_name]])</f>
        <v>Niedersachsen</v>
      </c>
    </row>
    <row r="251" spans="1:11" x14ac:dyDescent="0.55000000000000004">
      <c r="A251" t="s">
        <v>483</v>
      </c>
      <c r="B251" t="s">
        <v>954</v>
      </c>
      <c r="C251" t="s">
        <v>759</v>
      </c>
      <c r="K251" t="str">
        <f>_xlfn.XLOOKUP(Table9[[#This Row],[admin_name]],$G$2:$G$33,$H$2:$H$33, Table9[[#This Row],[admin_name]])</f>
        <v>Niedersachsen</v>
      </c>
    </row>
    <row r="252" spans="1:11" x14ac:dyDescent="0.55000000000000004">
      <c r="A252" t="s">
        <v>213</v>
      </c>
      <c r="B252" t="s">
        <v>954</v>
      </c>
      <c r="C252" t="s">
        <v>759</v>
      </c>
      <c r="K252" t="str">
        <f>_xlfn.XLOOKUP(Table9[[#This Row],[admin_name]],$G$2:$G$33,$H$2:$H$33, Table9[[#This Row],[admin_name]])</f>
        <v>Niedersachsen</v>
      </c>
    </row>
    <row r="253" spans="1:11" x14ac:dyDescent="0.55000000000000004">
      <c r="A253" t="s">
        <v>400</v>
      </c>
      <c r="B253" t="s">
        <v>954</v>
      </c>
      <c r="C253" t="s">
        <v>759</v>
      </c>
      <c r="K253" t="str">
        <f>_xlfn.XLOOKUP(Table9[[#This Row],[admin_name]],$G$2:$G$33,$H$2:$H$33, Table9[[#This Row],[admin_name]])</f>
        <v>Niedersachsen</v>
      </c>
    </row>
    <row r="254" spans="1:11" x14ac:dyDescent="0.55000000000000004">
      <c r="A254" t="s">
        <v>31</v>
      </c>
      <c r="B254" t="s">
        <v>954</v>
      </c>
      <c r="C254" t="s">
        <v>759</v>
      </c>
      <c r="K254" t="str">
        <f>_xlfn.XLOOKUP(Table9[[#This Row],[admin_name]],$G$2:$G$33,$H$2:$H$33, Table9[[#This Row],[admin_name]])</f>
        <v>Niedersachsen</v>
      </c>
    </row>
    <row r="255" spans="1:11" x14ac:dyDescent="0.55000000000000004">
      <c r="A255" t="s">
        <v>170</v>
      </c>
      <c r="B255" t="s">
        <v>954</v>
      </c>
      <c r="C255" t="s">
        <v>759</v>
      </c>
      <c r="K255" t="str">
        <f>_xlfn.XLOOKUP(Table9[[#This Row],[admin_name]],$G$2:$G$33,$H$2:$H$33, Table9[[#This Row],[admin_name]])</f>
        <v>Niedersachsen</v>
      </c>
    </row>
    <row r="256" spans="1:11" x14ac:dyDescent="0.55000000000000004">
      <c r="A256" t="s">
        <v>36</v>
      </c>
      <c r="B256" t="s">
        <v>954</v>
      </c>
      <c r="C256" t="s">
        <v>759</v>
      </c>
      <c r="K256" t="str">
        <f>_xlfn.XLOOKUP(Table9[[#This Row],[admin_name]],$G$2:$G$33,$H$2:$H$33, Table9[[#This Row],[admin_name]])</f>
        <v>Niedersachsen</v>
      </c>
    </row>
    <row r="257" spans="1:11" x14ac:dyDescent="0.55000000000000004">
      <c r="A257" t="s">
        <v>221</v>
      </c>
      <c r="B257" t="s">
        <v>954</v>
      </c>
      <c r="C257" t="s">
        <v>759</v>
      </c>
      <c r="K257" t="str">
        <f>_xlfn.XLOOKUP(Table9[[#This Row],[admin_name]],$G$2:$G$33,$H$2:$H$33, Table9[[#This Row],[admin_name]])</f>
        <v>Niedersachsen</v>
      </c>
    </row>
    <row r="258" spans="1:11" x14ac:dyDescent="0.55000000000000004">
      <c r="A258" t="s">
        <v>116</v>
      </c>
      <c r="B258" t="s">
        <v>954</v>
      </c>
      <c r="C258" t="s">
        <v>759</v>
      </c>
      <c r="K258" t="str">
        <f>_xlfn.XLOOKUP(Table9[[#This Row],[admin_name]],$G$2:$G$33,$H$2:$H$33, Table9[[#This Row],[admin_name]])</f>
        <v>Niedersachsen</v>
      </c>
    </row>
    <row r="259" spans="1:11" x14ac:dyDescent="0.55000000000000004">
      <c r="A259" t="s">
        <v>100</v>
      </c>
      <c r="B259" t="s">
        <v>954</v>
      </c>
      <c r="C259" t="s">
        <v>759</v>
      </c>
      <c r="K259" t="str">
        <f>_xlfn.XLOOKUP(Table9[[#This Row],[admin_name]],$G$2:$G$33,$H$2:$H$33, Table9[[#This Row],[admin_name]])</f>
        <v>Niedersachsen</v>
      </c>
    </row>
    <row r="260" spans="1:11" x14ac:dyDescent="0.55000000000000004">
      <c r="A260" t="s">
        <v>70</v>
      </c>
      <c r="B260" t="s">
        <v>954</v>
      </c>
      <c r="C260" t="s">
        <v>759</v>
      </c>
      <c r="K260" t="str">
        <f>_xlfn.XLOOKUP(Table9[[#This Row],[admin_name]],$G$2:$G$33,$H$2:$H$33, Table9[[#This Row],[admin_name]])</f>
        <v>Niedersachsen</v>
      </c>
    </row>
    <row r="261" spans="1:11" x14ac:dyDescent="0.55000000000000004">
      <c r="A261" t="s">
        <v>205</v>
      </c>
      <c r="B261" t="s">
        <v>954</v>
      </c>
      <c r="C261" t="s">
        <v>759</v>
      </c>
      <c r="K261" t="str">
        <f>_xlfn.XLOOKUP(Table9[[#This Row],[admin_name]],$G$2:$G$33,$H$2:$H$33, Table9[[#This Row],[admin_name]])</f>
        <v>Niedersachsen</v>
      </c>
    </row>
    <row r="262" spans="1:11" x14ac:dyDescent="0.55000000000000004">
      <c r="A262" t="s">
        <v>267</v>
      </c>
      <c r="B262" t="s">
        <v>954</v>
      </c>
      <c r="C262" t="s">
        <v>759</v>
      </c>
      <c r="K262" t="str">
        <f>_xlfn.XLOOKUP(Table9[[#This Row],[admin_name]],$G$2:$G$33,$H$2:$H$33, Table9[[#This Row],[admin_name]])</f>
        <v>Niedersachsen</v>
      </c>
    </row>
    <row r="263" spans="1:11" x14ac:dyDescent="0.55000000000000004">
      <c r="A263" t="s">
        <v>511</v>
      </c>
      <c r="B263" t="s">
        <v>954</v>
      </c>
      <c r="C263" t="s">
        <v>759</v>
      </c>
      <c r="K263" t="str">
        <f>_xlfn.XLOOKUP(Table9[[#This Row],[admin_name]],$G$2:$G$33,$H$2:$H$33, Table9[[#This Row],[admin_name]])</f>
        <v>Niedersachsen</v>
      </c>
    </row>
    <row r="264" spans="1:11" x14ac:dyDescent="0.55000000000000004">
      <c r="A264" t="s">
        <v>377</v>
      </c>
      <c r="B264" t="s">
        <v>954</v>
      </c>
      <c r="C264" t="s">
        <v>759</v>
      </c>
      <c r="K264" t="str">
        <f>_xlfn.XLOOKUP(Table9[[#This Row],[admin_name]],$G$2:$G$33,$H$2:$H$33, Table9[[#This Row],[admin_name]])</f>
        <v>Niedersachsen</v>
      </c>
    </row>
    <row r="265" spans="1:11" x14ac:dyDescent="0.55000000000000004">
      <c r="A265" t="s">
        <v>115</v>
      </c>
      <c r="B265" t="s">
        <v>954</v>
      </c>
      <c r="C265" t="s">
        <v>759</v>
      </c>
      <c r="K265" t="str">
        <f>_xlfn.XLOOKUP(Table9[[#This Row],[admin_name]],$G$2:$G$33,$H$2:$H$33, Table9[[#This Row],[admin_name]])</f>
        <v>Niedersachsen</v>
      </c>
    </row>
    <row r="266" spans="1:11" x14ac:dyDescent="0.55000000000000004">
      <c r="A266" t="s">
        <v>467</v>
      </c>
      <c r="B266" t="s">
        <v>954</v>
      </c>
      <c r="C266" t="s">
        <v>759</v>
      </c>
      <c r="K266" t="str">
        <f>_xlfn.XLOOKUP(Table9[[#This Row],[admin_name]],$G$2:$G$33,$H$2:$H$33, Table9[[#This Row],[admin_name]])</f>
        <v>Niedersachsen</v>
      </c>
    </row>
    <row r="267" spans="1:11" x14ac:dyDescent="0.55000000000000004">
      <c r="A267" t="s">
        <v>174</v>
      </c>
      <c r="B267" t="s">
        <v>954</v>
      </c>
      <c r="C267" t="s">
        <v>759</v>
      </c>
      <c r="K267" t="str">
        <f>_xlfn.XLOOKUP(Table9[[#This Row],[admin_name]],$G$2:$G$33,$H$2:$H$33, Table9[[#This Row],[admin_name]])</f>
        <v>Niedersachsen</v>
      </c>
    </row>
    <row r="268" spans="1:11" x14ac:dyDescent="0.55000000000000004">
      <c r="A268" t="s">
        <v>186</v>
      </c>
      <c r="B268" t="s">
        <v>954</v>
      </c>
      <c r="C268" t="s">
        <v>759</v>
      </c>
      <c r="K268" t="str">
        <f>_xlfn.XLOOKUP(Table9[[#This Row],[admin_name]],$G$2:$G$33,$H$2:$H$33, Table9[[#This Row],[admin_name]])</f>
        <v>Niedersachsen</v>
      </c>
    </row>
    <row r="269" spans="1:11" x14ac:dyDescent="0.55000000000000004">
      <c r="A269" t="s">
        <v>98</v>
      </c>
      <c r="B269" t="s">
        <v>954</v>
      </c>
      <c r="C269" t="s">
        <v>759</v>
      </c>
      <c r="K269" t="str">
        <f>_xlfn.XLOOKUP(Table9[[#This Row],[admin_name]],$G$2:$G$33,$H$2:$H$33, Table9[[#This Row],[admin_name]])</f>
        <v>Niedersachsen</v>
      </c>
    </row>
    <row r="270" spans="1:11" x14ac:dyDescent="0.55000000000000004">
      <c r="A270" t="s">
        <v>405</v>
      </c>
      <c r="B270" t="s">
        <v>954</v>
      </c>
      <c r="C270" t="s">
        <v>759</v>
      </c>
      <c r="K270" t="str">
        <f>_xlfn.XLOOKUP(Table9[[#This Row],[admin_name]],$G$2:$G$33,$H$2:$H$33, Table9[[#This Row],[admin_name]])</f>
        <v>Niedersachsen</v>
      </c>
    </row>
    <row r="271" spans="1:11" x14ac:dyDescent="0.55000000000000004">
      <c r="A271" t="s">
        <v>253</v>
      </c>
      <c r="B271" t="s">
        <v>954</v>
      </c>
      <c r="C271" t="s">
        <v>759</v>
      </c>
      <c r="K271" t="str">
        <f>_xlfn.XLOOKUP(Table9[[#This Row],[admin_name]],$G$2:$G$33,$H$2:$H$33, Table9[[#This Row],[admin_name]])</f>
        <v>Niedersachsen</v>
      </c>
    </row>
    <row r="272" spans="1:11" x14ac:dyDescent="0.55000000000000004">
      <c r="A272" t="s">
        <v>509</v>
      </c>
      <c r="B272" t="s">
        <v>954</v>
      </c>
      <c r="C272" t="s">
        <v>759</v>
      </c>
      <c r="K272" t="str">
        <f>_xlfn.XLOOKUP(Table9[[#This Row],[admin_name]],$G$2:$G$33,$H$2:$H$33, Table9[[#This Row],[admin_name]])</f>
        <v>Niedersachsen</v>
      </c>
    </row>
    <row r="273" spans="1:11" x14ac:dyDescent="0.55000000000000004">
      <c r="A273" t="s">
        <v>548</v>
      </c>
      <c r="B273" t="s">
        <v>954</v>
      </c>
      <c r="C273" t="s">
        <v>759</v>
      </c>
      <c r="K273" t="str">
        <f>_xlfn.XLOOKUP(Table9[[#This Row],[admin_name]],$G$2:$G$33,$H$2:$H$33, Table9[[#This Row],[admin_name]])</f>
        <v>Niedersachsen</v>
      </c>
    </row>
    <row r="274" spans="1:11" x14ac:dyDescent="0.55000000000000004">
      <c r="A274" t="s">
        <v>139</v>
      </c>
      <c r="B274" t="s">
        <v>954</v>
      </c>
      <c r="C274" t="s">
        <v>759</v>
      </c>
      <c r="K274" t="str">
        <f>_xlfn.XLOOKUP(Table9[[#This Row],[admin_name]],$G$2:$G$33,$H$2:$H$33, Table9[[#This Row],[admin_name]])</f>
        <v>Niedersachsen</v>
      </c>
    </row>
    <row r="275" spans="1:11" x14ac:dyDescent="0.55000000000000004">
      <c r="A275" t="s">
        <v>212</v>
      </c>
      <c r="B275" t="s">
        <v>954</v>
      </c>
      <c r="C275" t="s">
        <v>759</v>
      </c>
      <c r="K275" t="str">
        <f>_xlfn.XLOOKUP(Table9[[#This Row],[admin_name]],$G$2:$G$33,$H$2:$H$33, Table9[[#This Row],[admin_name]])</f>
        <v>Niedersachsen</v>
      </c>
    </row>
    <row r="276" spans="1:11" x14ac:dyDescent="0.55000000000000004">
      <c r="A276" t="s">
        <v>309</v>
      </c>
      <c r="B276" t="s">
        <v>954</v>
      </c>
      <c r="C276" t="s">
        <v>759</v>
      </c>
      <c r="K276" t="str">
        <f>_xlfn.XLOOKUP(Table9[[#This Row],[admin_name]],$G$2:$G$33,$H$2:$H$33, Table9[[#This Row],[admin_name]])</f>
        <v>Niedersachsen</v>
      </c>
    </row>
    <row r="277" spans="1:11" x14ac:dyDescent="0.55000000000000004">
      <c r="A277" t="s">
        <v>472</v>
      </c>
      <c r="B277" t="s">
        <v>954</v>
      </c>
      <c r="C277" t="s">
        <v>759</v>
      </c>
      <c r="K277" t="str">
        <f>_xlfn.XLOOKUP(Table9[[#This Row],[admin_name]],$G$2:$G$33,$H$2:$H$33, Table9[[#This Row],[admin_name]])</f>
        <v>Niedersachsen</v>
      </c>
    </row>
    <row r="278" spans="1:11" x14ac:dyDescent="0.55000000000000004">
      <c r="A278" t="s">
        <v>353</v>
      </c>
      <c r="B278" t="s">
        <v>954</v>
      </c>
      <c r="C278" t="s">
        <v>759</v>
      </c>
      <c r="K278" t="str">
        <f>_xlfn.XLOOKUP(Table9[[#This Row],[admin_name]],$G$2:$G$33,$H$2:$H$33, Table9[[#This Row],[admin_name]])</f>
        <v>Niedersachsen</v>
      </c>
    </row>
    <row r="279" spans="1:11" x14ac:dyDescent="0.55000000000000004">
      <c r="A279" t="s">
        <v>494</v>
      </c>
      <c r="B279" t="s">
        <v>954</v>
      </c>
      <c r="C279" t="s">
        <v>759</v>
      </c>
      <c r="K279" t="str">
        <f>_xlfn.XLOOKUP(Table9[[#This Row],[admin_name]],$G$2:$G$33,$H$2:$H$33, Table9[[#This Row],[admin_name]])</f>
        <v>Niedersachsen</v>
      </c>
    </row>
    <row r="280" spans="1:11" x14ac:dyDescent="0.55000000000000004">
      <c r="A280" t="s">
        <v>376</v>
      </c>
      <c r="B280" t="s">
        <v>954</v>
      </c>
      <c r="C280" t="s">
        <v>759</v>
      </c>
      <c r="K280" t="str">
        <f>_xlfn.XLOOKUP(Table9[[#This Row],[admin_name]],$G$2:$G$33,$H$2:$H$33, Table9[[#This Row],[admin_name]])</f>
        <v>Niedersachsen</v>
      </c>
    </row>
    <row r="281" spans="1:11" x14ac:dyDescent="0.55000000000000004">
      <c r="A281" t="s">
        <v>216</v>
      </c>
      <c r="B281" t="s">
        <v>954</v>
      </c>
      <c r="C281" t="s">
        <v>759</v>
      </c>
      <c r="K281" t="str">
        <f>_xlfn.XLOOKUP(Table9[[#This Row],[admin_name]],$G$2:$G$33,$H$2:$H$33, Table9[[#This Row],[admin_name]])</f>
        <v>Niedersachsen</v>
      </c>
    </row>
    <row r="282" spans="1:11" x14ac:dyDescent="0.55000000000000004">
      <c r="A282" t="s">
        <v>127</v>
      </c>
      <c r="B282" t="s">
        <v>954</v>
      </c>
      <c r="C282" t="s">
        <v>759</v>
      </c>
      <c r="K282" t="str">
        <f>_xlfn.XLOOKUP(Table9[[#This Row],[admin_name]],$G$2:$G$33,$H$2:$H$33, Table9[[#This Row],[admin_name]])</f>
        <v>Niedersachsen</v>
      </c>
    </row>
    <row r="283" spans="1:11" x14ac:dyDescent="0.55000000000000004">
      <c r="A283" t="s">
        <v>181</v>
      </c>
      <c r="B283" t="s">
        <v>954</v>
      </c>
      <c r="C283" t="s">
        <v>759</v>
      </c>
      <c r="K283" t="str">
        <f>_xlfn.XLOOKUP(Table9[[#This Row],[admin_name]],$G$2:$G$33,$H$2:$H$33, Table9[[#This Row],[admin_name]])</f>
        <v>Niedersachsen</v>
      </c>
    </row>
    <row r="284" spans="1:11" x14ac:dyDescent="0.55000000000000004">
      <c r="A284" t="s">
        <v>352</v>
      </c>
      <c r="B284" t="s">
        <v>954</v>
      </c>
      <c r="C284" t="s">
        <v>759</v>
      </c>
      <c r="K284" t="str">
        <f>_xlfn.XLOOKUP(Table9[[#This Row],[admin_name]],$G$2:$G$33,$H$2:$H$33, Table9[[#This Row],[admin_name]])</f>
        <v>Niedersachsen</v>
      </c>
    </row>
    <row r="285" spans="1:11" x14ac:dyDescent="0.55000000000000004">
      <c r="A285" t="s">
        <v>503</v>
      </c>
      <c r="B285" t="s">
        <v>954</v>
      </c>
      <c r="C285" t="s">
        <v>759</v>
      </c>
      <c r="K285" t="str">
        <f>_xlfn.XLOOKUP(Table9[[#This Row],[admin_name]],$G$2:$G$33,$H$2:$H$33, Table9[[#This Row],[admin_name]])</f>
        <v>Niedersachsen</v>
      </c>
    </row>
    <row r="286" spans="1:11" x14ac:dyDescent="0.55000000000000004">
      <c r="A286" t="s">
        <v>516</v>
      </c>
      <c r="B286" t="s">
        <v>954</v>
      </c>
      <c r="C286" t="s">
        <v>759</v>
      </c>
      <c r="K286" t="str">
        <f>_xlfn.XLOOKUP(Table9[[#This Row],[admin_name]],$G$2:$G$33,$H$2:$H$33, Table9[[#This Row],[admin_name]])</f>
        <v>Niedersachsen</v>
      </c>
    </row>
    <row r="287" spans="1:11" x14ac:dyDescent="0.55000000000000004">
      <c r="A287" t="s">
        <v>464</v>
      </c>
      <c r="B287" t="s">
        <v>954</v>
      </c>
      <c r="C287" t="s">
        <v>759</v>
      </c>
      <c r="K287" t="str">
        <f>_xlfn.XLOOKUP(Table9[[#This Row],[admin_name]],$G$2:$G$33,$H$2:$H$33, Table9[[#This Row],[admin_name]])</f>
        <v>Niedersachsen</v>
      </c>
    </row>
    <row r="288" spans="1:11" x14ac:dyDescent="0.55000000000000004">
      <c r="A288" t="s">
        <v>291</v>
      </c>
      <c r="B288" t="s">
        <v>954</v>
      </c>
      <c r="C288" t="s">
        <v>759</v>
      </c>
      <c r="K288" t="str">
        <f>_xlfn.XLOOKUP(Table9[[#This Row],[admin_name]],$G$2:$G$33,$H$2:$H$33, Table9[[#This Row],[admin_name]])</f>
        <v>Niedersachsen</v>
      </c>
    </row>
    <row r="289" spans="1:11" x14ac:dyDescent="0.55000000000000004">
      <c r="A289" t="s">
        <v>155</v>
      </c>
      <c r="B289" t="s">
        <v>954</v>
      </c>
      <c r="C289" t="s">
        <v>759</v>
      </c>
      <c r="K289" t="str">
        <f>_xlfn.XLOOKUP(Table9[[#This Row],[admin_name]],$G$2:$G$33,$H$2:$H$33, Table9[[#This Row],[admin_name]])</f>
        <v>Niedersachsen</v>
      </c>
    </row>
    <row r="290" spans="1:11" x14ac:dyDescent="0.55000000000000004">
      <c r="A290" t="s">
        <v>19</v>
      </c>
      <c r="B290" t="s">
        <v>954</v>
      </c>
      <c r="C290" t="s">
        <v>759</v>
      </c>
      <c r="K290" t="str">
        <f>_xlfn.XLOOKUP(Table9[[#This Row],[admin_name]],$G$2:$G$33,$H$2:$H$33, Table9[[#This Row],[admin_name]])</f>
        <v>Niedersachsen</v>
      </c>
    </row>
    <row r="291" spans="1:11" x14ac:dyDescent="0.55000000000000004">
      <c r="A291" t="s">
        <v>176</v>
      </c>
      <c r="B291" t="s">
        <v>954</v>
      </c>
      <c r="C291" t="s">
        <v>759</v>
      </c>
      <c r="K291" t="str">
        <f>_xlfn.XLOOKUP(Table9[[#This Row],[admin_name]],$G$2:$G$33,$H$2:$H$33, Table9[[#This Row],[admin_name]])</f>
        <v>Niedersachsen</v>
      </c>
    </row>
    <row r="292" spans="1:11" x14ac:dyDescent="0.55000000000000004">
      <c r="A292" t="s">
        <v>54</v>
      </c>
      <c r="B292" t="s">
        <v>954</v>
      </c>
      <c r="C292" t="s">
        <v>759</v>
      </c>
      <c r="K292" t="str">
        <f>_xlfn.XLOOKUP(Table9[[#This Row],[admin_name]],$G$2:$G$33,$H$2:$H$33, Table9[[#This Row],[admin_name]])</f>
        <v>Niedersachsen</v>
      </c>
    </row>
    <row r="293" spans="1:11" x14ac:dyDescent="0.55000000000000004">
      <c r="A293" t="s">
        <v>331</v>
      </c>
      <c r="B293" t="s">
        <v>954</v>
      </c>
      <c r="C293" t="s">
        <v>759</v>
      </c>
      <c r="K293" t="str">
        <f>_xlfn.XLOOKUP(Table9[[#This Row],[admin_name]],$G$2:$G$33,$H$2:$H$33, Table9[[#This Row],[admin_name]])</f>
        <v>Niedersachsen</v>
      </c>
    </row>
    <row r="294" spans="1:11" x14ac:dyDescent="0.55000000000000004">
      <c r="A294" t="s">
        <v>553</v>
      </c>
      <c r="B294" t="s">
        <v>954</v>
      </c>
      <c r="C294" t="s">
        <v>759</v>
      </c>
      <c r="K294" t="str">
        <f>_xlfn.XLOOKUP(Table9[[#This Row],[admin_name]],$G$2:$G$33,$H$2:$H$33, Table9[[#This Row],[admin_name]])</f>
        <v>Niedersachsen</v>
      </c>
    </row>
    <row r="295" spans="1:11" x14ac:dyDescent="0.55000000000000004">
      <c r="A295" t="s">
        <v>192</v>
      </c>
      <c r="B295" t="s">
        <v>954</v>
      </c>
      <c r="C295" t="s">
        <v>759</v>
      </c>
      <c r="K295" t="str">
        <f>_xlfn.XLOOKUP(Table9[[#This Row],[admin_name]],$G$2:$G$33,$H$2:$H$33, Table9[[#This Row],[admin_name]])</f>
        <v>Niedersachsen</v>
      </c>
    </row>
    <row r="296" spans="1:11" x14ac:dyDescent="0.55000000000000004">
      <c r="A296" t="s">
        <v>199</v>
      </c>
      <c r="B296" t="s">
        <v>954</v>
      </c>
      <c r="C296" t="s">
        <v>759</v>
      </c>
      <c r="K296" t="str">
        <f>_xlfn.XLOOKUP(Table9[[#This Row],[admin_name]],$G$2:$G$33,$H$2:$H$33, Table9[[#This Row],[admin_name]])</f>
        <v>Niedersachsen</v>
      </c>
    </row>
    <row r="297" spans="1:11" x14ac:dyDescent="0.55000000000000004">
      <c r="A297" t="s">
        <v>235</v>
      </c>
      <c r="B297" t="s">
        <v>954</v>
      </c>
      <c r="C297" t="s">
        <v>759</v>
      </c>
      <c r="K297" t="str">
        <f>_xlfn.XLOOKUP(Table9[[#This Row],[admin_name]],$G$2:$G$33,$H$2:$H$33, Table9[[#This Row],[admin_name]])</f>
        <v>Niedersachsen</v>
      </c>
    </row>
    <row r="298" spans="1:11" x14ac:dyDescent="0.55000000000000004">
      <c r="A298" t="s">
        <v>40</v>
      </c>
      <c r="B298" t="s">
        <v>954</v>
      </c>
      <c r="C298" t="s">
        <v>759</v>
      </c>
      <c r="K298" t="str">
        <f>_xlfn.XLOOKUP(Table9[[#This Row],[admin_name]],$G$2:$G$33,$H$2:$H$33, Table9[[#This Row],[admin_name]])</f>
        <v>Niedersachsen</v>
      </c>
    </row>
    <row r="299" spans="1:11" x14ac:dyDescent="0.55000000000000004">
      <c r="A299" t="s">
        <v>303</v>
      </c>
      <c r="B299" t="s">
        <v>954</v>
      </c>
      <c r="C299" t="s">
        <v>759</v>
      </c>
      <c r="K299" t="str">
        <f>_xlfn.XLOOKUP(Table9[[#This Row],[admin_name]],$G$2:$G$33,$H$2:$H$33, Table9[[#This Row],[admin_name]])</f>
        <v>Niedersachsen</v>
      </c>
    </row>
    <row r="300" spans="1:11" x14ac:dyDescent="0.55000000000000004">
      <c r="A300" t="s">
        <v>422</v>
      </c>
      <c r="B300" t="s">
        <v>954</v>
      </c>
      <c r="C300" t="s">
        <v>759</v>
      </c>
      <c r="K300" t="str">
        <f>_xlfn.XLOOKUP(Table9[[#This Row],[admin_name]],$G$2:$G$33,$H$2:$H$33, Table9[[#This Row],[admin_name]])</f>
        <v>Niedersachsen</v>
      </c>
    </row>
    <row r="301" spans="1:11" x14ac:dyDescent="0.55000000000000004">
      <c r="A301" t="s">
        <v>450</v>
      </c>
      <c r="B301" t="s">
        <v>954</v>
      </c>
      <c r="C301" t="s">
        <v>759</v>
      </c>
      <c r="K301" t="str">
        <f>_xlfn.XLOOKUP(Table9[[#This Row],[admin_name]],$G$2:$G$33,$H$2:$H$33, Table9[[#This Row],[admin_name]])</f>
        <v>Niedersachsen</v>
      </c>
    </row>
    <row r="302" spans="1:11" x14ac:dyDescent="0.55000000000000004">
      <c r="A302" t="s">
        <v>773</v>
      </c>
      <c r="B302" t="s">
        <v>954</v>
      </c>
      <c r="C302" t="s">
        <v>759</v>
      </c>
      <c r="K302" t="str">
        <f>_xlfn.XLOOKUP(Table9[[#This Row],[admin_name]],$G$2:$G$33,$H$2:$H$33, Table9[[#This Row],[admin_name]])</f>
        <v>Niedersachsen</v>
      </c>
    </row>
    <row r="303" spans="1:11" x14ac:dyDescent="0.55000000000000004">
      <c r="A303" t="s">
        <v>779</v>
      </c>
      <c r="B303" t="s">
        <v>954</v>
      </c>
      <c r="C303" t="s">
        <v>759</v>
      </c>
      <c r="K303" t="str">
        <f>_xlfn.XLOOKUP(Table9[[#This Row],[admin_name]],$G$2:$G$33,$H$2:$H$33, Table9[[#This Row],[admin_name]])</f>
        <v>Niedersachsen</v>
      </c>
    </row>
    <row r="304" spans="1:11" x14ac:dyDescent="0.55000000000000004">
      <c r="A304" t="s">
        <v>782</v>
      </c>
      <c r="B304" t="s">
        <v>954</v>
      </c>
      <c r="C304" t="s">
        <v>759</v>
      </c>
      <c r="K304" t="str">
        <f>_xlfn.XLOOKUP(Table9[[#This Row],[admin_name]],$G$2:$G$33,$H$2:$H$33, Table9[[#This Row],[admin_name]])</f>
        <v>Niedersachsen</v>
      </c>
    </row>
    <row r="305" spans="1:11" x14ac:dyDescent="0.55000000000000004">
      <c r="A305" t="s">
        <v>793</v>
      </c>
      <c r="B305" t="s">
        <v>954</v>
      </c>
      <c r="C305" t="s">
        <v>759</v>
      </c>
      <c r="K305" t="str">
        <f>_xlfn.XLOOKUP(Table9[[#This Row],[admin_name]],$G$2:$G$33,$H$2:$H$33, Table9[[#This Row],[admin_name]])</f>
        <v>Niedersachsen</v>
      </c>
    </row>
    <row r="306" spans="1:11" x14ac:dyDescent="0.55000000000000004">
      <c r="A306" t="s">
        <v>801</v>
      </c>
      <c r="B306" t="s">
        <v>954</v>
      </c>
      <c r="C306" t="s">
        <v>759</v>
      </c>
      <c r="K306" t="str">
        <f>_xlfn.XLOOKUP(Table9[[#This Row],[admin_name]],$G$2:$G$33,$H$2:$H$33, Table9[[#This Row],[admin_name]])</f>
        <v>Niedersachsen</v>
      </c>
    </row>
    <row r="307" spans="1:11" x14ac:dyDescent="0.55000000000000004">
      <c r="A307" t="s">
        <v>820</v>
      </c>
      <c r="B307" t="s">
        <v>954</v>
      </c>
      <c r="C307" t="s">
        <v>759</v>
      </c>
      <c r="K307" t="str">
        <f>_xlfn.XLOOKUP(Table9[[#This Row],[admin_name]],$G$2:$G$33,$H$2:$H$33, Table9[[#This Row],[admin_name]])</f>
        <v>Niedersachsen</v>
      </c>
    </row>
    <row r="308" spans="1:11" x14ac:dyDescent="0.55000000000000004">
      <c r="A308" t="s">
        <v>821</v>
      </c>
      <c r="B308" t="s">
        <v>954</v>
      </c>
      <c r="C308" t="s">
        <v>759</v>
      </c>
      <c r="K308" t="str">
        <f>_xlfn.XLOOKUP(Table9[[#This Row],[admin_name]],$G$2:$G$33,$H$2:$H$33, Table9[[#This Row],[admin_name]])</f>
        <v>Niedersachsen</v>
      </c>
    </row>
    <row r="309" spans="1:11" x14ac:dyDescent="0.55000000000000004">
      <c r="A309" t="s">
        <v>823</v>
      </c>
      <c r="B309" t="s">
        <v>954</v>
      </c>
      <c r="C309" t="s">
        <v>759</v>
      </c>
      <c r="K309" t="str">
        <f>_xlfn.XLOOKUP(Table9[[#This Row],[admin_name]],$G$2:$G$33,$H$2:$H$33, Table9[[#This Row],[admin_name]])</f>
        <v>Niedersachsen</v>
      </c>
    </row>
    <row r="310" spans="1:11" x14ac:dyDescent="0.55000000000000004">
      <c r="A310" t="s">
        <v>118</v>
      </c>
      <c r="B310" t="s">
        <v>955</v>
      </c>
      <c r="C310" t="s">
        <v>759</v>
      </c>
      <c r="K310" t="str">
        <f>_xlfn.XLOOKUP(Table9[[#This Row],[admin_name]],$G$2:$G$33,$H$2:$H$33, Table9[[#This Row],[admin_name]])</f>
        <v>Mecklenburg-Vorpommern</v>
      </c>
    </row>
    <row r="311" spans="1:11" x14ac:dyDescent="0.55000000000000004">
      <c r="A311" t="s">
        <v>45</v>
      </c>
      <c r="B311" t="s">
        <v>955</v>
      </c>
      <c r="C311" t="s">
        <v>759</v>
      </c>
      <c r="K311" t="str">
        <f>_xlfn.XLOOKUP(Table9[[#This Row],[admin_name]],$G$2:$G$33,$H$2:$H$33, Table9[[#This Row],[admin_name]])</f>
        <v>Mecklenburg-Vorpommern</v>
      </c>
    </row>
    <row r="312" spans="1:11" x14ac:dyDescent="0.55000000000000004">
      <c r="A312" t="s">
        <v>429</v>
      </c>
      <c r="B312" t="s">
        <v>955</v>
      </c>
      <c r="C312" t="s">
        <v>759</v>
      </c>
      <c r="K312" t="str">
        <f>_xlfn.XLOOKUP(Table9[[#This Row],[admin_name]],$G$2:$G$33,$H$2:$H$33, Table9[[#This Row],[admin_name]])</f>
        <v>Mecklenburg-Vorpommern</v>
      </c>
    </row>
    <row r="313" spans="1:11" x14ac:dyDescent="0.55000000000000004">
      <c r="A313" t="s">
        <v>442</v>
      </c>
      <c r="B313" t="s">
        <v>955</v>
      </c>
      <c r="C313" t="s">
        <v>759</v>
      </c>
      <c r="K313" t="str">
        <f>_xlfn.XLOOKUP(Table9[[#This Row],[admin_name]],$G$2:$G$33,$H$2:$H$33, Table9[[#This Row],[admin_name]])</f>
        <v>Mecklenburg-Vorpommern</v>
      </c>
    </row>
    <row r="314" spans="1:11" x14ac:dyDescent="0.55000000000000004">
      <c r="A314" t="s">
        <v>491</v>
      </c>
      <c r="B314" t="s">
        <v>955</v>
      </c>
      <c r="C314" t="s">
        <v>759</v>
      </c>
      <c r="K314" t="str">
        <f>_xlfn.XLOOKUP(Table9[[#This Row],[admin_name]],$G$2:$G$33,$H$2:$H$33, Table9[[#This Row],[admin_name]])</f>
        <v>Mecklenburg-Vorpommern</v>
      </c>
    </row>
    <row r="315" spans="1:11" x14ac:dyDescent="0.55000000000000004">
      <c r="A315" t="s">
        <v>360</v>
      </c>
      <c r="B315" t="s">
        <v>955</v>
      </c>
      <c r="C315" t="s">
        <v>759</v>
      </c>
      <c r="K315" t="str">
        <f>_xlfn.XLOOKUP(Table9[[#This Row],[admin_name]],$G$2:$G$33,$H$2:$H$33, Table9[[#This Row],[admin_name]])</f>
        <v>Mecklenburg-Vorpommern</v>
      </c>
    </row>
    <row r="316" spans="1:11" x14ac:dyDescent="0.55000000000000004">
      <c r="A316" t="s">
        <v>453</v>
      </c>
      <c r="B316" t="s">
        <v>955</v>
      </c>
      <c r="C316" t="s">
        <v>759</v>
      </c>
      <c r="K316" t="str">
        <f>_xlfn.XLOOKUP(Table9[[#This Row],[admin_name]],$G$2:$G$33,$H$2:$H$33, Table9[[#This Row],[admin_name]])</f>
        <v>Mecklenburg-Vorpommern</v>
      </c>
    </row>
    <row r="317" spans="1:11" x14ac:dyDescent="0.55000000000000004">
      <c r="A317" t="s">
        <v>99</v>
      </c>
      <c r="B317" t="s">
        <v>955</v>
      </c>
      <c r="C317" t="s">
        <v>759</v>
      </c>
      <c r="K317" t="str">
        <f>_xlfn.XLOOKUP(Table9[[#This Row],[admin_name]],$G$2:$G$33,$H$2:$H$33, Table9[[#This Row],[admin_name]])</f>
        <v>Mecklenburg-Vorpommern</v>
      </c>
    </row>
    <row r="318" spans="1:11" x14ac:dyDescent="0.55000000000000004">
      <c r="A318" t="s">
        <v>60</v>
      </c>
      <c r="B318" t="s">
        <v>956</v>
      </c>
      <c r="C318" t="s">
        <v>759</v>
      </c>
      <c r="K318" t="str">
        <f>_xlfn.XLOOKUP(Table9[[#This Row],[admin_name]],$G$2:$G$33,$H$2:$H$33, Table9[[#This Row],[admin_name]])</f>
        <v>Nordrhein-Westfalen</v>
      </c>
    </row>
    <row r="319" spans="1:11" x14ac:dyDescent="0.55000000000000004">
      <c r="A319" t="s">
        <v>524</v>
      </c>
      <c r="B319" t="s">
        <v>956</v>
      </c>
      <c r="C319" t="s">
        <v>759</v>
      </c>
      <c r="K319" t="str">
        <f>_xlfn.XLOOKUP(Table9[[#This Row],[admin_name]],$G$2:$G$33,$H$2:$H$33, Table9[[#This Row],[admin_name]])</f>
        <v>Nordrhein-Westfalen</v>
      </c>
    </row>
    <row r="320" spans="1:11" x14ac:dyDescent="0.55000000000000004">
      <c r="A320" t="s">
        <v>214</v>
      </c>
      <c r="B320" t="s">
        <v>956</v>
      </c>
      <c r="C320" t="s">
        <v>759</v>
      </c>
      <c r="K320" t="str">
        <f>_xlfn.XLOOKUP(Table9[[#This Row],[admin_name]],$G$2:$G$33,$H$2:$H$33, Table9[[#This Row],[admin_name]])</f>
        <v>Nordrhein-Westfalen</v>
      </c>
    </row>
    <row r="321" spans="1:11" x14ac:dyDescent="0.55000000000000004">
      <c r="A321" t="s">
        <v>356</v>
      </c>
      <c r="B321" t="s">
        <v>956</v>
      </c>
      <c r="C321" t="s">
        <v>759</v>
      </c>
      <c r="K321" t="str">
        <f>_xlfn.XLOOKUP(Table9[[#This Row],[admin_name]],$G$2:$G$33,$H$2:$H$33, Table9[[#This Row],[admin_name]])</f>
        <v>Nordrhein-Westfalen</v>
      </c>
    </row>
    <row r="322" spans="1:11" x14ac:dyDescent="0.55000000000000004">
      <c r="A322" t="s">
        <v>337</v>
      </c>
      <c r="B322" t="s">
        <v>956</v>
      </c>
      <c r="C322" t="s">
        <v>759</v>
      </c>
      <c r="K322" t="str">
        <f>_xlfn.XLOOKUP(Table9[[#This Row],[admin_name]],$G$2:$G$33,$H$2:$H$33, Table9[[#This Row],[admin_name]])</f>
        <v>Nordrhein-Westfalen</v>
      </c>
    </row>
    <row r="323" spans="1:11" x14ac:dyDescent="0.55000000000000004">
      <c r="A323" t="s">
        <v>108</v>
      </c>
      <c r="B323" t="s">
        <v>956</v>
      </c>
      <c r="C323" t="s">
        <v>759</v>
      </c>
      <c r="K323" t="str">
        <f>_xlfn.XLOOKUP(Table9[[#This Row],[admin_name]],$G$2:$G$33,$H$2:$H$33, Table9[[#This Row],[admin_name]])</f>
        <v>Nordrhein-Westfalen</v>
      </c>
    </row>
    <row r="324" spans="1:11" x14ac:dyDescent="0.55000000000000004">
      <c r="A324" t="s">
        <v>370</v>
      </c>
      <c r="B324" t="s">
        <v>956</v>
      </c>
      <c r="C324" t="s">
        <v>759</v>
      </c>
      <c r="K324" t="str">
        <f>_xlfn.XLOOKUP(Table9[[#This Row],[admin_name]],$G$2:$G$33,$H$2:$H$33, Table9[[#This Row],[admin_name]])</f>
        <v>Nordrhein-Westfalen</v>
      </c>
    </row>
    <row r="325" spans="1:11" x14ac:dyDescent="0.55000000000000004">
      <c r="A325" t="s">
        <v>375</v>
      </c>
      <c r="B325" t="s">
        <v>956</v>
      </c>
      <c r="C325" t="s">
        <v>759</v>
      </c>
      <c r="K325" t="str">
        <f>_xlfn.XLOOKUP(Table9[[#This Row],[admin_name]],$G$2:$G$33,$H$2:$H$33, Table9[[#This Row],[admin_name]])</f>
        <v>Nordrhein-Westfalen</v>
      </c>
    </row>
    <row r="326" spans="1:11" x14ac:dyDescent="0.55000000000000004">
      <c r="A326" t="s">
        <v>161</v>
      </c>
      <c r="B326" t="s">
        <v>956</v>
      </c>
      <c r="C326" t="s">
        <v>759</v>
      </c>
      <c r="K326" t="str">
        <f>_xlfn.XLOOKUP(Table9[[#This Row],[admin_name]],$G$2:$G$33,$H$2:$H$33, Table9[[#This Row],[admin_name]])</f>
        <v>Nordrhein-Westfalen</v>
      </c>
    </row>
    <row r="327" spans="1:11" x14ac:dyDescent="0.55000000000000004">
      <c r="A327" t="s">
        <v>332</v>
      </c>
      <c r="B327" t="s">
        <v>956</v>
      </c>
      <c r="C327" t="s">
        <v>759</v>
      </c>
      <c r="K327" t="str">
        <f>_xlfn.XLOOKUP(Table9[[#This Row],[admin_name]],$G$2:$G$33,$H$2:$H$33, Table9[[#This Row],[admin_name]])</f>
        <v>Nordrhein-Westfalen</v>
      </c>
    </row>
    <row r="328" spans="1:11" x14ac:dyDescent="0.55000000000000004">
      <c r="A328" t="s">
        <v>154</v>
      </c>
      <c r="B328" t="s">
        <v>956</v>
      </c>
      <c r="C328" t="s">
        <v>759</v>
      </c>
      <c r="K328" t="str">
        <f>_xlfn.XLOOKUP(Table9[[#This Row],[admin_name]],$G$2:$G$33,$H$2:$H$33, Table9[[#This Row],[admin_name]])</f>
        <v>Nordrhein-Westfalen</v>
      </c>
    </row>
    <row r="329" spans="1:11" x14ac:dyDescent="0.55000000000000004">
      <c r="A329" t="s">
        <v>403</v>
      </c>
      <c r="B329" t="s">
        <v>956</v>
      </c>
      <c r="C329" t="s">
        <v>759</v>
      </c>
      <c r="K329" t="str">
        <f>_xlfn.XLOOKUP(Table9[[#This Row],[admin_name]],$G$2:$G$33,$H$2:$H$33, Table9[[#This Row],[admin_name]])</f>
        <v>Nordrhein-Westfalen</v>
      </c>
    </row>
    <row r="330" spans="1:11" x14ac:dyDescent="0.55000000000000004">
      <c r="A330" t="s">
        <v>166</v>
      </c>
      <c r="B330" t="s">
        <v>956</v>
      </c>
      <c r="C330" t="s">
        <v>759</v>
      </c>
      <c r="K330" t="str">
        <f>_xlfn.XLOOKUP(Table9[[#This Row],[admin_name]],$G$2:$G$33,$H$2:$H$33, Table9[[#This Row],[admin_name]])</f>
        <v>Nordrhein-Westfalen</v>
      </c>
    </row>
    <row r="331" spans="1:11" x14ac:dyDescent="0.55000000000000004">
      <c r="A331" t="s">
        <v>208</v>
      </c>
      <c r="B331" t="s">
        <v>956</v>
      </c>
      <c r="C331" t="s">
        <v>759</v>
      </c>
      <c r="K331" t="str">
        <f>_xlfn.XLOOKUP(Table9[[#This Row],[admin_name]],$G$2:$G$33,$H$2:$H$33, Table9[[#This Row],[admin_name]])</f>
        <v>Nordrhein-Westfalen</v>
      </c>
    </row>
    <row r="332" spans="1:11" x14ac:dyDescent="0.55000000000000004">
      <c r="A332" t="s">
        <v>261</v>
      </c>
      <c r="B332" t="s">
        <v>956</v>
      </c>
      <c r="C332" t="s">
        <v>759</v>
      </c>
      <c r="K332" t="str">
        <f>_xlfn.XLOOKUP(Table9[[#This Row],[admin_name]],$G$2:$G$33,$H$2:$H$33, Table9[[#This Row],[admin_name]])</f>
        <v>Nordrhein-Westfalen</v>
      </c>
    </row>
    <row r="333" spans="1:11" x14ac:dyDescent="0.55000000000000004">
      <c r="A333" t="s">
        <v>534</v>
      </c>
      <c r="B333" t="s">
        <v>956</v>
      </c>
      <c r="C333" t="s">
        <v>759</v>
      </c>
      <c r="K333" t="str">
        <f>_xlfn.XLOOKUP(Table9[[#This Row],[admin_name]],$G$2:$G$33,$H$2:$H$33, Table9[[#This Row],[admin_name]])</f>
        <v>Nordrhein-Westfalen</v>
      </c>
    </row>
    <row r="334" spans="1:11" x14ac:dyDescent="0.55000000000000004">
      <c r="A334" t="s">
        <v>228</v>
      </c>
      <c r="B334" t="s">
        <v>956</v>
      </c>
      <c r="C334" t="s">
        <v>759</v>
      </c>
      <c r="K334" t="str">
        <f>_xlfn.XLOOKUP(Table9[[#This Row],[admin_name]],$G$2:$G$33,$H$2:$H$33, Table9[[#This Row],[admin_name]])</f>
        <v>Nordrhein-Westfalen</v>
      </c>
    </row>
    <row r="335" spans="1:11" x14ac:dyDescent="0.55000000000000004">
      <c r="A335" t="s">
        <v>404</v>
      </c>
      <c r="B335" t="s">
        <v>956</v>
      </c>
      <c r="C335" t="s">
        <v>759</v>
      </c>
      <c r="K335" t="str">
        <f>_xlfn.XLOOKUP(Table9[[#This Row],[admin_name]],$G$2:$G$33,$H$2:$H$33, Table9[[#This Row],[admin_name]])</f>
        <v>Nordrhein-Westfalen</v>
      </c>
    </row>
    <row r="336" spans="1:11" x14ac:dyDescent="0.55000000000000004">
      <c r="A336" t="s">
        <v>293</v>
      </c>
      <c r="B336" t="s">
        <v>956</v>
      </c>
      <c r="C336" t="s">
        <v>759</v>
      </c>
      <c r="K336" t="str">
        <f>_xlfn.XLOOKUP(Table9[[#This Row],[admin_name]],$G$2:$G$33,$H$2:$H$33, Table9[[#This Row],[admin_name]])</f>
        <v>Nordrhein-Westfalen</v>
      </c>
    </row>
    <row r="337" spans="1:11" x14ac:dyDescent="0.55000000000000004">
      <c r="A337" t="s">
        <v>16</v>
      </c>
      <c r="B337" t="s">
        <v>956</v>
      </c>
      <c r="C337" t="s">
        <v>759</v>
      </c>
      <c r="K337" t="str">
        <f>_xlfn.XLOOKUP(Table9[[#This Row],[admin_name]],$G$2:$G$33,$H$2:$H$33, Table9[[#This Row],[admin_name]])</f>
        <v>Nordrhein-Westfalen</v>
      </c>
    </row>
    <row r="338" spans="1:11" x14ac:dyDescent="0.55000000000000004">
      <c r="A338" t="s">
        <v>410</v>
      </c>
      <c r="B338" t="s">
        <v>956</v>
      </c>
      <c r="C338" t="s">
        <v>759</v>
      </c>
      <c r="K338" t="str">
        <f>_xlfn.XLOOKUP(Table9[[#This Row],[admin_name]],$G$2:$G$33,$H$2:$H$33, Table9[[#This Row],[admin_name]])</f>
        <v>Nordrhein-Westfalen</v>
      </c>
    </row>
    <row r="339" spans="1:11" x14ac:dyDescent="0.55000000000000004">
      <c r="A339" t="s">
        <v>163</v>
      </c>
      <c r="B339" t="s">
        <v>956</v>
      </c>
      <c r="C339" t="s">
        <v>759</v>
      </c>
      <c r="K339" t="str">
        <f>_xlfn.XLOOKUP(Table9[[#This Row],[admin_name]],$G$2:$G$33,$H$2:$H$33, Table9[[#This Row],[admin_name]])</f>
        <v>Nordrhein-Westfalen</v>
      </c>
    </row>
    <row r="340" spans="1:11" x14ac:dyDescent="0.55000000000000004">
      <c r="A340" t="s">
        <v>440</v>
      </c>
      <c r="B340" t="s">
        <v>956</v>
      </c>
      <c r="C340" t="s">
        <v>759</v>
      </c>
      <c r="K340" t="str">
        <f>_xlfn.XLOOKUP(Table9[[#This Row],[admin_name]],$G$2:$G$33,$H$2:$H$33, Table9[[#This Row],[admin_name]])</f>
        <v>Nordrhein-Westfalen</v>
      </c>
    </row>
    <row r="341" spans="1:11" x14ac:dyDescent="0.55000000000000004">
      <c r="A341" t="s">
        <v>102</v>
      </c>
      <c r="B341" t="s">
        <v>956</v>
      </c>
      <c r="C341" t="s">
        <v>759</v>
      </c>
      <c r="K341" t="str">
        <f>_xlfn.XLOOKUP(Table9[[#This Row],[admin_name]],$G$2:$G$33,$H$2:$H$33, Table9[[#This Row],[admin_name]])</f>
        <v>Nordrhein-Westfalen</v>
      </c>
    </row>
    <row r="342" spans="1:11" x14ac:dyDescent="0.55000000000000004">
      <c r="A342" t="s">
        <v>480</v>
      </c>
      <c r="B342" t="s">
        <v>956</v>
      </c>
      <c r="C342" t="s">
        <v>759</v>
      </c>
      <c r="K342" t="str">
        <f>_xlfn.XLOOKUP(Table9[[#This Row],[admin_name]],$G$2:$G$33,$H$2:$H$33, Table9[[#This Row],[admin_name]])</f>
        <v>Nordrhein-Westfalen</v>
      </c>
    </row>
    <row r="343" spans="1:11" x14ac:dyDescent="0.55000000000000004">
      <c r="A343" t="s">
        <v>89</v>
      </c>
      <c r="B343" t="s">
        <v>956</v>
      </c>
      <c r="C343" t="s">
        <v>759</v>
      </c>
      <c r="K343" t="str">
        <f>_xlfn.XLOOKUP(Table9[[#This Row],[admin_name]],$G$2:$G$33,$H$2:$H$33, Table9[[#This Row],[admin_name]])</f>
        <v>Nordrhein-Westfalen</v>
      </c>
    </row>
    <row r="344" spans="1:11" x14ac:dyDescent="0.55000000000000004">
      <c r="A344" t="s">
        <v>336</v>
      </c>
      <c r="B344" t="s">
        <v>956</v>
      </c>
      <c r="C344" t="s">
        <v>759</v>
      </c>
      <c r="K344" t="str">
        <f>_xlfn.XLOOKUP(Table9[[#This Row],[admin_name]],$G$2:$G$33,$H$2:$H$33, Table9[[#This Row],[admin_name]])</f>
        <v>Nordrhein-Westfalen</v>
      </c>
    </row>
    <row r="345" spans="1:11" x14ac:dyDescent="0.55000000000000004">
      <c r="A345" t="s">
        <v>88</v>
      </c>
      <c r="B345" t="s">
        <v>956</v>
      </c>
      <c r="C345" t="s">
        <v>759</v>
      </c>
      <c r="K345" t="str">
        <f>_xlfn.XLOOKUP(Table9[[#This Row],[admin_name]],$G$2:$G$33,$H$2:$H$33, Table9[[#This Row],[admin_name]])</f>
        <v>Nordrhein-Westfalen</v>
      </c>
    </row>
    <row r="346" spans="1:11" x14ac:dyDescent="0.55000000000000004">
      <c r="A346" t="s">
        <v>191</v>
      </c>
      <c r="B346" t="s">
        <v>956</v>
      </c>
      <c r="C346" t="s">
        <v>759</v>
      </c>
      <c r="K346" t="str">
        <f>_xlfn.XLOOKUP(Table9[[#This Row],[admin_name]],$G$2:$G$33,$H$2:$H$33, Table9[[#This Row],[admin_name]])</f>
        <v>Nordrhein-Westfalen</v>
      </c>
    </row>
    <row r="347" spans="1:11" x14ac:dyDescent="0.55000000000000004">
      <c r="A347" t="s">
        <v>182</v>
      </c>
      <c r="B347" t="s">
        <v>956</v>
      </c>
      <c r="C347" t="s">
        <v>759</v>
      </c>
      <c r="K347" t="str">
        <f>_xlfn.XLOOKUP(Table9[[#This Row],[admin_name]],$G$2:$G$33,$H$2:$H$33, Table9[[#This Row],[admin_name]])</f>
        <v>Nordrhein-Westfalen</v>
      </c>
    </row>
    <row r="348" spans="1:11" x14ac:dyDescent="0.55000000000000004">
      <c r="A348" t="s">
        <v>141</v>
      </c>
      <c r="B348" t="s">
        <v>956</v>
      </c>
      <c r="C348" t="s">
        <v>759</v>
      </c>
      <c r="K348" t="str">
        <f>_xlfn.XLOOKUP(Table9[[#This Row],[admin_name]],$G$2:$G$33,$H$2:$H$33, Table9[[#This Row],[admin_name]])</f>
        <v>Nordrhein-Westfalen</v>
      </c>
    </row>
    <row r="349" spans="1:11" x14ac:dyDescent="0.55000000000000004">
      <c r="A349" t="s">
        <v>227</v>
      </c>
      <c r="B349" t="s">
        <v>956</v>
      </c>
      <c r="C349" t="s">
        <v>759</v>
      </c>
      <c r="K349" t="str">
        <f>_xlfn.XLOOKUP(Table9[[#This Row],[admin_name]],$G$2:$G$33,$H$2:$H$33, Table9[[#This Row],[admin_name]])</f>
        <v>Nordrhein-Westfalen</v>
      </c>
    </row>
    <row r="350" spans="1:11" x14ac:dyDescent="0.55000000000000004">
      <c r="A350" t="s">
        <v>24</v>
      </c>
      <c r="B350" t="s">
        <v>956</v>
      </c>
      <c r="C350" t="s">
        <v>759</v>
      </c>
      <c r="K350" t="str">
        <f>_xlfn.XLOOKUP(Table9[[#This Row],[admin_name]],$G$2:$G$33,$H$2:$H$33, Table9[[#This Row],[admin_name]])</f>
        <v>Nordrhein-Westfalen</v>
      </c>
    </row>
    <row r="351" spans="1:11" x14ac:dyDescent="0.55000000000000004">
      <c r="A351" t="s">
        <v>157</v>
      </c>
      <c r="B351" t="s">
        <v>956</v>
      </c>
      <c r="C351" t="s">
        <v>759</v>
      </c>
      <c r="K351" t="str">
        <f>_xlfn.XLOOKUP(Table9[[#This Row],[admin_name]],$G$2:$G$33,$H$2:$H$33, Table9[[#This Row],[admin_name]])</f>
        <v>Nordrhein-Westfalen</v>
      </c>
    </row>
    <row r="352" spans="1:11" x14ac:dyDescent="0.55000000000000004">
      <c r="A352" t="s">
        <v>466</v>
      </c>
      <c r="B352" t="s">
        <v>956</v>
      </c>
      <c r="C352" t="s">
        <v>759</v>
      </c>
      <c r="K352" t="str">
        <f>_xlfn.XLOOKUP(Table9[[#This Row],[admin_name]],$G$2:$G$33,$H$2:$H$33, Table9[[#This Row],[admin_name]])</f>
        <v>Nordrhein-Westfalen</v>
      </c>
    </row>
    <row r="353" spans="1:11" x14ac:dyDescent="0.55000000000000004">
      <c r="A353" t="s">
        <v>25</v>
      </c>
      <c r="B353" t="s">
        <v>956</v>
      </c>
      <c r="C353" t="s">
        <v>759</v>
      </c>
      <c r="K353" t="str">
        <f>_xlfn.XLOOKUP(Table9[[#This Row],[admin_name]],$G$2:$G$33,$H$2:$H$33, Table9[[#This Row],[admin_name]])</f>
        <v>Nordrhein-Westfalen</v>
      </c>
    </row>
    <row r="354" spans="1:11" x14ac:dyDescent="0.55000000000000004">
      <c r="A354" t="s">
        <v>345</v>
      </c>
      <c r="B354" t="s">
        <v>956</v>
      </c>
      <c r="C354" t="s">
        <v>759</v>
      </c>
      <c r="K354" t="str">
        <f>_xlfn.XLOOKUP(Table9[[#This Row],[admin_name]],$G$2:$G$33,$H$2:$H$33, Table9[[#This Row],[admin_name]])</f>
        <v>Nordrhein-Westfalen</v>
      </c>
    </row>
    <row r="355" spans="1:11" x14ac:dyDescent="0.55000000000000004">
      <c r="A355" t="s">
        <v>66</v>
      </c>
      <c r="B355" t="s">
        <v>956</v>
      </c>
      <c r="C355" t="s">
        <v>759</v>
      </c>
      <c r="K355" t="str">
        <f>_xlfn.XLOOKUP(Table9[[#This Row],[admin_name]],$G$2:$G$33,$H$2:$H$33, Table9[[#This Row],[admin_name]])</f>
        <v>Nordrhein-Westfalen</v>
      </c>
    </row>
    <row r="356" spans="1:11" x14ac:dyDescent="0.55000000000000004">
      <c r="A356" t="s">
        <v>275</v>
      </c>
      <c r="B356" t="s">
        <v>956</v>
      </c>
      <c r="C356" t="s">
        <v>759</v>
      </c>
      <c r="K356" t="str">
        <f>_xlfn.XLOOKUP(Table9[[#This Row],[admin_name]],$G$2:$G$33,$H$2:$H$33, Table9[[#This Row],[admin_name]])</f>
        <v>Nordrhein-Westfalen</v>
      </c>
    </row>
    <row r="357" spans="1:11" x14ac:dyDescent="0.55000000000000004">
      <c r="A357" t="s">
        <v>126</v>
      </c>
      <c r="B357" t="s">
        <v>956</v>
      </c>
      <c r="C357" t="s">
        <v>759</v>
      </c>
      <c r="K357" t="str">
        <f>_xlfn.XLOOKUP(Table9[[#This Row],[admin_name]],$G$2:$G$33,$H$2:$H$33, Table9[[#This Row],[admin_name]])</f>
        <v>Nordrhein-Westfalen</v>
      </c>
    </row>
    <row r="358" spans="1:11" x14ac:dyDescent="0.55000000000000004">
      <c r="A358" t="s">
        <v>295</v>
      </c>
      <c r="B358" t="s">
        <v>956</v>
      </c>
      <c r="C358" t="s">
        <v>759</v>
      </c>
      <c r="K358" t="str">
        <f>_xlfn.XLOOKUP(Table9[[#This Row],[admin_name]],$G$2:$G$33,$H$2:$H$33, Table9[[#This Row],[admin_name]])</f>
        <v>Nordrhein-Westfalen</v>
      </c>
    </row>
    <row r="359" spans="1:11" x14ac:dyDescent="0.55000000000000004">
      <c r="A359" t="s">
        <v>461</v>
      </c>
      <c r="B359" t="s">
        <v>956</v>
      </c>
      <c r="C359" t="s">
        <v>759</v>
      </c>
      <c r="K359" t="str">
        <f>_xlfn.XLOOKUP(Table9[[#This Row],[admin_name]],$G$2:$G$33,$H$2:$H$33, Table9[[#This Row],[admin_name]])</f>
        <v>Nordrhein-Westfalen</v>
      </c>
    </row>
    <row r="360" spans="1:11" x14ac:dyDescent="0.55000000000000004">
      <c r="A360" t="s">
        <v>178</v>
      </c>
      <c r="B360" t="s">
        <v>956</v>
      </c>
      <c r="C360" t="s">
        <v>759</v>
      </c>
      <c r="K360" t="str">
        <f>_xlfn.XLOOKUP(Table9[[#This Row],[admin_name]],$G$2:$G$33,$H$2:$H$33, Table9[[#This Row],[admin_name]])</f>
        <v>Nordrhein-Westfalen</v>
      </c>
    </row>
    <row r="361" spans="1:11" x14ac:dyDescent="0.55000000000000004">
      <c r="A361" t="s">
        <v>366</v>
      </c>
      <c r="B361" t="s">
        <v>956</v>
      </c>
      <c r="C361" t="s">
        <v>759</v>
      </c>
      <c r="K361" t="str">
        <f>_xlfn.XLOOKUP(Table9[[#This Row],[admin_name]],$G$2:$G$33,$H$2:$H$33, Table9[[#This Row],[admin_name]])</f>
        <v>Nordrhein-Westfalen</v>
      </c>
    </row>
    <row r="362" spans="1:11" x14ac:dyDescent="0.55000000000000004">
      <c r="A362" t="s">
        <v>430</v>
      </c>
      <c r="B362" t="s">
        <v>956</v>
      </c>
      <c r="C362" t="s">
        <v>759</v>
      </c>
      <c r="K362" t="str">
        <f>_xlfn.XLOOKUP(Table9[[#This Row],[admin_name]],$G$2:$G$33,$H$2:$H$33, Table9[[#This Row],[admin_name]])</f>
        <v>Nordrhein-Westfalen</v>
      </c>
    </row>
    <row r="363" spans="1:11" x14ac:dyDescent="0.55000000000000004">
      <c r="A363" t="s">
        <v>409</v>
      </c>
      <c r="B363" t="s">
        <v>956</v>
      </c>
      <c r="C363" t="s">
        <v>759</v>
      </c>
      <c r="K363" t="str">
        <f>_xlfn.XLOOKUP(Table9[[#This Row],[admin_name]],$G$2:$G$33,$H$2:$H$33, Table9[[#This Row],[admin_name]])</f>
        <v>Nordrhein-Westfalen</v>
      </c>
    </row>
    <row r="364" spans="1:11" x14ac:dyDescent="0.55000000000000004">
      <c r="A364" t="s">
        <v>168</v>
      </c>
      <c r="B364" t="s">
        <v>956</v>
      </c>
      <c r="C364" t="s">
        <v>759</v>
      </c>
      <c r="K364" t="str">
        <f>_xlfn.XLOOKUP(Table9[[#This Row],[admin_name]],$G$2:$G$33,$H$2:$H$33, Table9[[#This Row],[admin_name]])</f>
        <v>Nordrhein-Westfalen</v>
      </c>
    </row>
    <row r="365" spans="1:11" x14ac:dyDescent="0.55000000000000004">
      <c r="A365" t="s">
        <v>230</v>
      </c>
      <c r="B365" t="s">
        <v>956</v>
      </c>
      <c r="C365" t="s">
        <v>759</v>
      </c>
      <c r="K365" t="str">
        <f>_xlfn.XLOOKUP(Table9[[#This Row],[admin_name]],$G$2:$G$33,$H$2:$H$33, Table9[[#This Row],[admin_name]])</f>
        <v>Nordrhein-Westfalen</v>
      </c>
    </row>
    <row r="366" spans="1:11" x14ac:dyDescent="0.55000000000000004">
      <c r="A366" t="s">
        <v>315</v>
      </c>
      <c r="B366" t="s">
        <v>956</v>
      </c>
      <c r="C366" t="s">
        <v>759</v>
      </c>
      <c r="K366" t="str">
        <f>_xlfn.XLOOKUP(Table9[[#This Row],[admin_name]],$G$2:$G$33,$H$2:$H$33, Table9[[#This Row],[admin_name]])</f>
        <v>Nordrhein-Westfalen</v>
      </c>
    </row>
    <row r="367" spans="1:11" x14ac:dyDescent="0.55000000000000004">
      <c r="A367" t="s">
        <v>380</v>
      </c>
      <c r="B367" t="s">
        <v>956</v>
      </c>
      <c r="C367" t="s">
        <v>759</v>
      </c>
      <c r="K367" t="str">
        <f>_xlfn.XLOOKUP(Table9[[#This Row],[admin_name]],$G$2:$G$33,$H$2:$H$33, Table9[[#This Row],[admin_name]])</f>
        <v>Nordrhein-Westfalen</v>
      </c>
    </row>
    <row r="368" spans="1:11" x14ac:dyDescent="0.55000000000000004">
      <c r="A368" t="s">
        <v>379</v>
      </c>
      <c r="B368" t="s">
        <v>956</v>
      </c>
      <c r="C368" t="s">
        <v>759</v>
      </c>
      <c r="K368" t="str">
        <f>_xlfn.XLOOKUP(Table9[[#This Row],[admin_name]],$G$2:$G$33,$H$2:$H$33, Table9[[#This Row],[admin_name]])</f>
        <v>Nordrhein-Westfalen</v>
      </c>
    </row>
    <row r="369" spans="1:11" x14ac:dyDescent="0.55000000000000004">
      <c r="A369" t="s">
        <v>531</v>
      </c>
      <c r="B369" t="s">
        <v>956</v>
      </c>
      <c r="C369" t="s">
        <v>759</v>
      </c>
      <c r="K369" t="str">
        <f>_xlfn.XLOOKUP(Table9[[#This Row],[admin_name]],$G$2:$G$33,$H$2:$H$33, Table9[[#This Row],[admin_name]])</f>
        <v>Nordrhein-Westfalen</v>
      </c>
    </row>
    <row r="370" spans="1:11" x14ac:dyDescent="0.55000000000000004">
      <c r="A370" t="s">
        <v>231</v>
      </c>
      <c r="B370" t="s">
        <v>956</v>
      </c>
      <c r="C370" t="s">
        <v>759</v>
      </c>
      <c r="K370" t="str">
        <f>_xlfn.XLOOKUP(Table9[[#This Row],[admin_name]],$G$2:$G$33,$H$2:$H$33, Table9[[#This Row],[admin_name]])</f>
        <v>Nordrhein-Westfalen</v>
      </c>
    </row>
    <row r="371" spans="1:11" x14ac:dyDescent="0.55000000000000004">
      <c r="A371" t="s">
        <v>200</v>
      </c>
      <c r="B371" t="s">
        <v>956</v>
      </c>
      <c r="C371" t="s">
        <v>759</v>
      </c>
      <c r="K371" t="str">
        <f>_xlfn.XLOOKUP(Table9[[#This Row],[admin_name]],$G$2:$G$33,$H$2:$H$33, Table9[[#This Row],[admin_name]])</f>
        <v>Nordrhein-Westfalen</v>
      </c>
    </row>
    <row r="372" spans="1:11" x14ac:dyDescent="0.55000000000000004">
      <c r="A372" t="s">
        <v>369</v>
      </c>
      <c r="B372" t="s">
        <v>956</v>
      </c>
      <c r="C372" t="s">
        <v>759</v>
      </c>
      <c r="K372" t="str">
        <f>_xlfn.XLOOKUP(Table9[[#This Row],[admin_name]],$G$2:$G$33,$H$2:$H$33, Table9[[#This Row],[admin_name]])</f>
        <v>Nordrhein-Westfalen</v>
      </c>
    </row>
    <row r="373" spans="1:11" x14ac:dyDescent="0.55000000000000004">
      <c r="A373" t="s">
        <v>418</v>
      </c>
      <c r="B373" t="s">
        <v>956</v>
      </c>
      <c r="C373" t="s">
        <v>759</v>
      </c>
      <c r="K373" t="str">
        <f>_xlfn.XLOOKUP(Table9[[#This Row],[admin_name]],$G$2:$G$33,$H$2:$H$33, Table9[[#This Row],[admin_name]])</f>
        <v>Nordrhein-Westfalen</v>
      </c>
    </row>
    <row r="374" spans="1:11" x14ac:dyDescent="0.55000000000000004">
      <c r="A374" t="s">
        <v>311</v>
      </c>
      <c r="B374" t="s">
        <v>956</v>
      </c>
      <c r="C374" t="s">
        <v>759</v>
      </c>
      <c r="K374" t="str">
        <f>_xlfn.XLOOKUP(Table9[[#This Row],[admin_name]],$G$2:$G$33,$H$2:$H$33, Table9[[#This Row],[admin_name]])</f>
        <v>Nordrhein-Westfalen</v>
      </c>
    </row>
    <row r="375" spans="1:11" x14ac:dyDescent="0.55000000000000004">
      <c r="A375" t="s">
        <v>490</v>
      </c>
      <c r="B375" t="s">
        <v>956</v>
      </c>
      <c r="C375" t="s">
        <v>759</v>
      </c>
      <c r="K375" t="str">
        <f>_xlfn.XLOOKUP(Table9[[#This Row],[admin_name]],$G$2:$G$33,$H$2:$H$33, Table9[[#This Row],[admin_name]])</f>
        <v>Nordrhein-Westfalen</v>
      </c>
    </row>
    <row r="376" spans="1:11" x14ac:dyDescent="0.55000000000000004">
      <c r="A376" t="s">
        <v>346</v>
      </c>
      <c r="B376" t="s">
        <v>956</v>
      </c>
      <c r="C376" t="s">
        <v>759</v>
      </c>
      <c r="K376" t="str">
        <f>_xlfn.XLOOKUP(Table9[[#This Row],[admin_name]],$G$2:$G$33,$H$2:$H$33, Table9[[#This Row],[admin_name]])</f>
        <v>Nordrhein-Westfalen</v>
      </c>
    </row>
    <row r="377" spans="1:11" x14ac:dyDescent="0.55000000000000004">
      <c r="A377" t="s">
        <v>474</v>
      </c>
      <c r="B377" t="s">
        <v>956</v>
      </c>
      <c r="C377" t="s">
        <v>759</v>
      </c>
      <c r="K377" t="str">
        <f>_xlfn.XLOOKUP(Table9[[#This Row],[admin_name]],$G$2:$G$33,$H$2:$H$33, Table9[[#This Row],[admin_name]])</f>
        <v>Nordrhein-Westfalen</v>
      </c>
    </row>
    <row r="378" spans="1:11" x14ac:dyDescent="0.55000000000000004">
      <c r="A378" t="s">
        <v>211</v>
      </c>
      <c r="B378" t="s">
        <v>956</v>
      </c>
      <c r="C378" t="s">
        <v>759</v>
      </c>
      <c r="K378" t="str">
        <f>_xlfn.XLOOKUP(Table9[[#This Row],[admin_name]],$G$2:$G$33,$H$2:$H$33, Table9[[#This Row],[admin_name]])</f>
        <v>Nordrhein-Westfalen</v>
      </c>
    </row>
    <row r="379" spans="1:11" x14ac:dyDescent="0.55000000000000004">
      <c r="A379" t="s">
        <v>308</v>
      </c>
      <c r="B379" t="s">
        <v>956</v>
      </c>
      <c r="C379" t="s">
        <v>759</v>
      </c>
      <c r="K379" t="str">
        <f>_xlfn.XLOOKUP(Table9[[#This Row],[admin_name]],$G$2:$G$33,$H$2:$H$33, Table9[[#This Row],[admin_name]])</f>
        <v>Nordrhein-Westfalen</v>
      </c>
    </row>
    <row r="380" spans="1:11" x14ac:dyDescent="0.55000000000000004">
      <c r="A380" t="s">
        <v>26</v>
      </c>
      <c r="B380" t="s">
        <v>956</v>
      </c>
      <c r="C380" t="s">
        <v>759</v>
      </c>
      <c r="K380" t="str">
        <f>_xlfn.XLOOKUP(Table9[[#This Row],[admin_name]],$G$2:$G$33,$H$2:$H$33, Table9[[#This Row],[admin_name]])</f>
        <v>Nordrhein-Westfalen</v>
      </c>
    </row>
    <row r="381" spans="1:11" x14ac:dyDescent="0.55000000000000004">
      <c r="A381" t="s">
        <v>247</v>
      </c>
      <c r="B381" t="s">
        <v>956</v>
      </c>
      <c r="C381" t="s">
        <v>759</v>
      </c>
      <c r="K381" t="str">
        <f>_xlfn.XLOOKUP(Table9[[#This Row],[admin_name]],$G$2:$G$33,$H$2:$H$33, Table9[[#This Row],[admin_name]])</f>
        <v>Nordrhein-Westfalen</v>
      </c>
    </row>
    <row r="382" spans="1:11" x14ac:dyDescent="0.55000000000000004">
      <c r="A382" t="s">
        <v>307</v>
      </c>
      <c r="B382" t="s">
        <v>956</v>
      </c>
      <c r="C382" t="s">
        <v>759</v>
      </c>
      <c r="K382" t="str">
        <f>_xlfn.XLOOKUP(Table9[[#This Row],[admin_name]],$G$2:$G$33,$H$2:$H$33, Table9[[#This Row],[admin_name]])</f>
        <v>Nordrhein-Westfalen</v>
      </c>
    </row>
    <row r="383" spans="1:11" x14ac:dyDescent="0.55000000000000004">
      <c r="A383" t="s">
        <v>52</v>
      </c>
      <c r="B383" t="s">
        <v>956</v>
      </c>
      <c r="C383" t="s">
        <v>759</v>
      </c>
      <c r="K383" t="str">
        <f>_xlfn.XLOOKUP(Table9[[#This Row],[admin_name]],$G$2:$G$33,$H$2:$H$33, Table9[[#This Row],[admin_name]])</f>
        <v>Nordrhein-Westfalen</v>
      </c>
    </row>
    <row r="384" spans="1:11" x14ac:dyDescent="0.55000000000000004">
      <c r="A384" t="s">
        <v>302</v>
      </c>
      <c r="B384" t="s">
        <v>956</v>
      </c>
      <c r="C384" t="s">
        <v>759</v>
      </c>
      <c r="K384" t="str">
        <f>_xlfn.XLOOKUP(Table9[[#This Row],[admin_name]],$G$2:$G$33,$H$2:$H$33, Table9[[#This Row],[admin_name]])</f>
        <v>Nordrhein-Westfalen</v>
      </c>
    </row>
    <row r="385" spans="1:11" x14ac:dyDescent="0.55000000000000004">
      <c r="A385" t="s">
        <v>238</v>
      </c>
      <c r="B385" t="s">
        <v>956</v>
      </c>
      <c r="C385" t="s">
        <v>759</v>
      </c>
      <c r="K385" t="str">
        <f>_xlfn.XLOOKUP(Table9[[#This Row],[admin_name]],$G$2:$G$33,$H$2:$H$33, Table9[[#This Row],[admin_name]])</f>
        <v>Nordrhein-Westfalen</v>
      </c>
    </row>
    <row r="386" spans="1:11" x14ac:dyDescent="0.55000000000000004">
      <c r="A386" t="s">
        <v>74</v>
      </c>
      <c r="B386" t="s">
        <v>956</v>
      </c>
      <c r="C386" t="s">
        <v>759</v>
      </c>
      <c r="K386" t="str">
        <f>_xlfn.XLOOKUP(Table9[[#This Row],[admin_name]],$G$2:$G$33,$H$2:$H$33, Table9[[#This Row],[admin_name]])</f>
        <v>Nordrhein-Westfalen</v>
      </c>
    </row>
    <row r="387" spans="1:11" x14ac:dyDescent="0.55000000000000004">
      <c r="A387" t="s">
        <v>290</v>
      </c>
      <c r="B387" t="s">
        <v>956</v>
      </c>
      <c r="C387" t="s">
        <v>759</v>
      </c>
      <c r="K387" t="str">
        <f>_xlfn.XLOOKUP(Table9[[#This Row],[admin_name]],$G$2:$G$33,$H$2:$H$33, Table9[[#This Row],[admin_name]])</f>
        <v>Nordrhein-Westfalen</v>
      </c>
    </row>
    <row r="388" spans="1:11" x14ac:dyDescent="0.55000000000000004">
      <c r="A388" t="s">
        <v>150</v>
      </c>
      <c r="B388" t="s">
        <v>956</v>
      </c>
      <c r="C388" t="s">
        <v>759</v>
      </c>
      <c r="K388" t="str">
        <f>_xlfn.XLOOKUP(Table9[[#This Row],[admin_name]],$G$2:$G$33,$H$2:$H$33, Table9[[#This Row],[admin_name]])</f>
        <v>Nordrhein-Westfalen</v>
      </c>
    </row>
    <row r="389" spans="1:11" x14ac:dyDescent="0.55000000000000004">
      <c r="A389" t="s">
        <v>262</v>
      </c>
      <c r="B389" t="s">
        <v>956</v>
      </c>
      <c r="C389" t="s">
        <v>759</v>
      </c>
      <c r="K389" t="str">
        <f>_xlfn.XLOOKUP(Table9[[#This Row],[admin_name]],$G$2:$G$33,$H$2:$H$33, Table9[[#This Row],[admin_name]])</f>
        <v>Nordrhein-Westfalen</v>
      </c>
    </row>
    <row r="390" spans="1:11" x14ac:dyDescent="0.55000000000000004">
      <c r="A390" t="s">
        <v>286</v>
      </c>
      <c r="B390" t="s">
        <v>956</v>
      </c>
      <c r="C390" t="s">
        <v>759</v>
      </c>
      <c r="K390" t="str">
        <f>_xlfn.XLOOKUP(Table9[[#This Row],[admin_name]],$G$2:$G$33,$H$2:$H$33, Table9[[#This Row],[admin_name]])</f>
        <v>Nordrhein-Westfalen</v>
      </c>
    </row>
    <row r="391" spans="1:11" x14ac:dyDescent="0.55000000000000004">
      <c r="A391" t="s">
        <v>402</v>
      </c>
      <c r="B391" t="s">
        <v>956</v>
      </c>
      <c r="C391" t="s">
        <v>759</v>
      </c>
      <c r="K391" t="str">
        <f>_xlfn.XLOOKUP(Table9[[#This Row],[admin_name]],$G$2:$G$33,$H$2:$H$33, Table9[[#This Row],[admin_name]])</f>
        <v>Nordrhein-Westfalen</v>
      </c>
    </row>
    <row r="392" spans="1:11" x14ac:dyDescent="0.55000000000000004">
      <c r="A392" t="s">
        <v>113</v>
      </c>
      <c r="B392" t="s">
        <v>956</v>
      </c>
      <c r="C392" t="s">
        <v>759</v>
      </c>
      <c r="K392" t="str">
        <f>_xlfn.XLOOKUP(Table9[[#This Row],[admin_name]],$G$2:$G$33,$H$2:$H$33, Table9[[#This Row],[admin_name]])</f>
        <v>Nordrhein-Westfalen</v>
      </c>
    </row>
    <row r="393" spans="1:11" x14ac:dyDescent="0.55000000000000004">
      <c r="A393" t="s">
        <v>488</v>
      </c>
      <c r="B393" t="s">
        <v>956</v>
      </c>
      <c r="C393" t="s">
        <v>759</v>
      </c>
      <c r="K393" t="str">
        <f>_xlfn.XLOOKUP(Table9[[#This Row],[admin_name]],$G$2:$G$33,$H$2:$H$33, Table9[[#This Row],[admin_name]])</f>
        <v>Nordrhein-Westfalen</v>
      </c>
    </row>
    <row r="394" spans="1:11" x14ac:dyDescent="0.55000000000000004">
      <c r="A394" t="s">
        <v>82</v>
      </c>
      <c r="B394" t="s">
        <v>956</v>
      </c>
      <c r="C394" t="s">
        <v>759</v>
      </c>
      <c r="K394" t="str">
        <f>_xlfn.XLOOKUP(Table9[[#This Row],[admin_name]],$G$2:$G$33,$H$2:$H$33, Table9[[#This Row],[admin_name]])</f>
        <v>Nordrhein-Westfalen</v>
      </c>
    </row>
    <row r="395" spans="1:11" x14ac:dyDescent="0.55000000000000004">
      <c r="A395" t="s">
        <v>43</v>
      </c>
      <c r="B395" t="s">
        <v>956</v>
      </c>
      <c r="C395" t="s">
        <v>759</v>
      </c>
      <c r="K395" t="str">
        <f>_xlfn.XLOOKUP(Table9[[#This Row],[admin_name]],$G$2:$G$33,$H$2:$H$33, Table9[[#This Row],[admin_name]])</f>
        <v>Nordrhein-Westfalen</v>
      </c>
    </row>
    <row r="396" spans="1:11" x14ac:dyDescent="0.55000000000000004">
      <c r="A396" t="s">
        <v>350</v>
      </c>
      <c r="B396" t="s">
        <v>956</v>
      </c>
      <c r="C396" t="s">
        <v>759</v>
      </c>
      <c r="K396" t="str">
        <f>_xlfn.XLOOKUP(Table9[[#This Row],[admin_name]],$G$2:$G$33,$H$2:$H$33, Table9[[#This Row],[admin_name]])</f>
        <v>Nordrhein-Westfalen</v>
      </c>
    </row>
    <row r="397" spans="1:11" x14ac:dyDescent="0.55000000000000004">
      <c r="A397" t="s">
        <v>371</v>
      </c>
      <c r="B397" t="s">
        <v>956</v>
      </c>
      <c r="C397" t="s">
        <v>759</v>
      </c>
      <c r="K397" t="str">
        <f>_xlfn.XLOOKUP(Table9[[#This Row],[admin_name]],$G$2:$G$33,$H$2:$H$33, Table9[[#This Row],[admin_name]])</f>
        <v>Nordrhein-Westfalen</v>
      </c>
    </row>
    <row r="398" spans="1:11" x14ac:dyDescent="0.55000000000000004">
      <c r="A398" t="s">
        <v>179</v>
      </c>
      <c r="B398" t="s">
        <v>956</v>
      </c>
      <c r="C398" t="s">
        <v>759</v>
      </c>
      <c r="K398" t="str">
        <f>_xlfn.XLOOKUP(Table9[[#This Row],[admin_name]],$G$2:$G$33,$H$2:$H$33, Table9[[#This Row],[admin_name]])</f>
        <v>Nordrhein-Westfalen</v>
      </c>
    </row>
    <row r="399" spans="1:11" x14ac:dyDescent="0.55000000000000004">
      <c r="A399" t="s">
        <v>348</v>
      </c>
      <c r="B399" t="s">
        <v>956</v>
      </c>
      <c r="C399" t="s">
        <v>759</v>
      </c>
      <c r="K399" t="str">
        <f>_xlfn.XLOOKUP(Table9[[#This Row],[admin_name]],$G$2:$G$33,$H$2:$H$33, Table9[[#This Row],[admin_name]])</f>
        <v>Nordrhein-Westfalen</v>
      </c>
    </row>
    <row r="400" spans="1:11" x14ac:dyDescent="0.55000000000000004">
      <c r="A400" t="s">
        <v>180</v>
      </c>
      <c r="B400" t="s">
        <v>956</v>
      </c>
      <c r="C400" t="s">
        <v>759</v>
      </c>
      <c r="K400" t="str">
        <f>_xlfn.XLOOKUP(Table9[[#This Row],[admin_name]],$G$2:$G$33,$H$2:$H$33, Table9[[#This Row],[admin_name]])</f>
        <v>Nordrhein-Westfalen</v>
      </c>
    </row>
    <row r="401" spans="1:11" x14ac:dyDescent="0.55000000000000004">
      <c r="A401" t="s">
        <v>129</v>
      </c>
      <c r="B401" t="s">
        <v>956</v>
      </c>
      <c r="C401" t="s">
        <v>759</v>
      </c>
      <c r="K401" t="str">
        <f>_xlfn.XLOOKUP(Table9[[#This Row],[admin_name]],$G$2:$G$33,$H$2:$H$33, Table9[[#This Row],[admin_name]])</f>
        <v>Nordrhein-Westfalen</v>
      </c>
    </row>
    <row r="402" spans="1:11" x14ac:dyDescent="0.55000000000000004">
      <c r="A402" t="s">
        <v>463</v>
      </c>
      <c r="B402" t="s">
        <v>956</v>
      </c>
      <c r="C402" t="s">
        <v>759</v>
      </c>
      <c r="K402" t="str">
        <f>_xlfn.XLOOKUP(Table9[[#This Row],[admin_name]],$G$2:$G$33,$H$2:$H$33, Table9[[#This Row],[admin_name]])</f>
        <v>Nordrhein-Westfalen</v>
      </c>
    </row>
    <row r="403" spans="1:11" x14ac:dyDescent="0.55000000000000004">
      <c r="A403" t="s">
        <v>44</v>
      </c>
      <c r="B403" t="s">
        <v>956</v>
      </c>
      <c r="C403" t="s">
        <v>759</v>
      </c>
      <c r="K403" t="str">
        <f>_xlfn.XLOOKUP(Table9[[#This Row],[admin_name]],$G$2:$G$33,$H$2:$H$33, Table9[[#This Row],[admin_name]])</f>
        <v>Nordrhein-Westfalen</v>
      </c>
    </row>
    <row r="404" spans="1:11" x14ac:dyDescent="0.55000000000000004">
      <c r="A404" t="s">
        <v>343</v>
      </c>
      <c r="B404" t="s">
        <v>956</v>
      </c>
      <c r="C404" t="s">
        <v>759</v>
      </c>
      <c r="K404" t="str">
        <f>_xlfn.XLOOKUP(Table9[[#This Row],[admin_name]],$G$2:$G$33,$H$2:$H$33, Table9[[#This Row],[admin_name]])</f>
        <v>Nordrhein-Westfalen</v>
      </c>
    </row>
    <row r="405" spans="1:11" x14ac:dyDescent="0.55000000000000004">
      <c r="A405" t="s">
        <v>285</v>
      </c>
      <c r="B405" t="s">
        <v>956</v>
      </c>
      <c r="C405" t="s">
        <v>759</v>
      </c>
      <c r="K405" t="str">
        <f>_xlfn.XLOOKUP(Table9[[#This Row],[admin_name]],$G$2:$G$33,$H$2:$H$33, Table9[[#This Row],[admin_name]])</f>
        <v>Nordrhein-Westfalen</v>
      </c>
    </row>
    <row r="406" spans="1:11" x14ac:dyDescent="0.55000000000000004">
      <c r="A406" t="s">
        <v>482</v>
      </c>
      <c r="B406" t="s">
        <v>956</v>
      </c>
      <c r="C406" t="s">
        <v>759</v>
      </c>
      <c r="K406" t="str">
        <f>_xlfn.XLOOKUP(Table9[[#This Row],[admin_name]],$G$2:$G$33,$H$2:$H$33, Table9[[#This Row],[admin_name]])</f>
        <v>Nordrhein-Westfalen</v>
      </c>
    </row>
    <row r="407" spans="1:11" x14ac:dyDescent="0.55000000000000004">
      <c r="A407" t="s">
        <v>42</v>
      </c>
      <c r="B407" t="s">
        <v>956</v>
      </c>
      <c r="C407" t="s">
        <v>759</v>
      </c>
      <c r="K407" t="str">
        <f>_xlfn.XLOOKUP(Table9[[#This Row],[admin_name]],$G$2:$G$33,$H$2:$H$33, Table9[[#This Row],[admin_name]])</f>
        <v>Nordrhein-Westfalen</v>
      </c>
    </row>
    <row r="408" spans="1:11" x14ac:dyDescent="0.55000000000000004">
      <c r="A408" t="s">
        <v>454</v>
      </c>
      <c r="B408" t="s">
        <v>956</v>
      </c>
      <c r="C408" t="s">
        <v>759</v>
      </c>
      <c r="K408" t="str">
        <f>_xlfn.XLOOKUP(Table9[[#This Row],[admin_name]],$G$2:$G$33,$H$2:$H$33, Table9[[#This Row],[admin_name]])</f>
        <v>Nordrhein-Westfalen</v>
      </c>
    </row>
    <row r="409" spans="1:11" x14ac:dyDescent="0.55000000000000004">
      <c r="A409" t="s">
        <v>425</v>
      </c>
      <c r="B409" t="s">
        <v>956</v>
      </c>
      <c r="C409" t="s">
        <v>759</v>
      </c>
      <c r="K409" t="str">
        <f>_xlfn.XLOOKUP(Table9[[#This Row],[admin_name]],$G$2:$G$33,$H$2:$H$33, Table9[[#This Row],[admin_name]])</f>
        <v>Nordrhein-Westfalen</v>
      </c>
    </row>
    <row r="410" spans="1:11" x14ac:dyDescent="0.55000000000000004">
      <c r="A410" t="s">
        <v>86</v>
      </c>
      <c r="B410" t="s">
        <v>956</v>
      </c>
      <c r="C410" t="s">
        <v>759</v>
      </c>
      <c r="K410" t="str">
        <f>_xlfn.XLOOKUP(Table9[[#This Row],[admin_name]],$G$2:$G$33,$H$2:$H$33, Table9[[#This Row],[admin_name]])</f>
        <v>Nordrhein-Westfalen</v>
      </c>
    </row>
    <row r="411" spans="1:11" x14ac:dyDescent="0.55000000000000004">
      <c r="A411" t="s">
        <v>449</v>
      </c>
      <c r="B411" t="s">
        <v>956</v>
      </c>
      <c r="C411" t="s">
        <v>759</v>
      </c>
      <c r="K411" t="str">
        <f>_xlfn.XLOOKUP(Table9[[#This Row],[admin_name]],$G$2:$G$33,$H$2:$H$33, Table9[[#This Row],[admin_name]])</f>
        <v>Nordrhein-Westfalen</v>
      </c>
    </row>
    <row r="412" spans="1:11" x14ac:dyDescent="0.55000000000000004">
      <c r="A412" t="s">
        <v>271</v>
      </c>
      <c r="B412" t="s">
        <v>956</v>
      </c>
      <c r="C412" t="s">
        <v>759</v>
      </c>
      <c r="K412" t="str">
        <f>_xlfn.XLOOKUP(Table9[[#This Row],[admin_name]],$G$2:$G$33,$H$2:$H$33, Table9[[#This Row],[admin_name]])</f>
        <v>Nordrhein-Westfalen</v>
      </c>
    </row>
    <row r="413" spans="1:11" x14ac:dyDescent="0.55000000000000004">
      <c r="A413" t="s">
        <v>92</v>
      </c>
      <c r="B413" t="s">
        <v>956</v>
      </c>
      <c r="C413" t="s">
        <v>759</v>
      </c>
      <c r="K413" t="str">
        <f>_xlfn.XLOOKUP(Table9[[#This Row],[admin_name]],$G$2:$G$33,$H$2:$H$33, Table9[[#This Row],[admin_name]])</f>
        <v>Nordrhein-Westfalen</v>
      </c>
    </row>
    <row r="414" spans="1:11" x14ac:dyDescent="0.55000000000000004">
      <c r="A414" t="s">
        <v>134</v>
      </c>
      <c r="B414" t="s">
        <v>956</v>
      </c>
      <c r="C414" t="s">
        <v>759</v>
      </c>
      <c r="K414" t="str">
        <f>_xlfn.XLOOKUP(Table9[[#This Row],[admin_name]],$G$2:$G$33,$H$2:$H$33, Table9[[#This Row],[admin_name]])</f>
        <v>Nordrhein-Westfalen</v>
      </c>
    </row>
    <row r="415" spans="1:11" x14ac:dyDescent="0.55000000000000004">
      <c r="A415" t="s">
        <v>526</v>
      </c>
      <c r="B415" t="s">
        <v>956</v>
      </c>
      <c r="C415" t="s">
        <v>759</v>
      </c>
      <c r="K415" t="str">
        <f>_xlfn.XLOOKUP(Table9[[#This Row],[admin_name]],$G$2:$G$33,$H$2:$H$33, Table9[[#This Row],[admin_name]])</f>
        <v>Nordrhein-Westfalen</v>
      </c>
    </row>
    <row r="416" spans="1:11" x14ac:dyDescent="0.55000000000000004">
      <c r="A416" t="s">
        <v>432</v>
      </c>
      <c r="B416" t="s">
        <v>956</v>
      </c>
      <c r="C416" t="s">
        <v>759</v>
      </c>
      <c r="K416" t="str">
        <f>_xlfn.XLOOKUP(Table9[[#This Row],[admin_name]],$G$2:$G$33,$H$2:$H$33, Table9[[#This Row],[admin_name]])</f>
        <v>Nordrhein-Westfalen</v>
      </c>
    </row>
    <row r="417" spans="1:11" x14ac:dyDescent="0.55000000000000004">
      <c r="A417" t="s">
        <v>412</v>
      </c>
      <c r="B417" t="s">
        <v>956</v>
      </c>
      <c r="C417" t="s">
        <v>759</v>
      </c>
      <c r="K417" t="str">
        <f>_xlfn.XLOOKUP(Table9[[#This Row],[admin_name]],$G$2:$G$33,$H$2:$H$33, Table9[[#This Row],[admin_name]])</f>
        <v>Nordrhein-Westfalen</v>
      </c>
    </row>
    <row r="418" spans="1:11" x14ac:dyDescent="0.55000000000000004">
      <c r="A418" t="s">
        <v>535</v>
      </c>
      <c r="B418" t="s">
        <v>956</v>
      </c>
      <c r="C418" t="s">
        <v>759</v>
      </c>
      <c r="K418" t="str">
        <f>_xlfn.XLOOKUP(Table9[[#This Row],[admin_name]],$G$2:$G$33,$H$2:$H$33, Table9[[#This Row],[admin_name]])</f>
        <v>Nordrhein-Westfalen</v>
      </c>
    </row>
    <row r="419" spans="1:11" x14ac:dyDescent="0.55000000000000004">
      <c r="A419" t="s">
        <v>510</v>
      </c>
      <c r="B419" t="s">
        <v>956</v>
      </c>
      <c r="C419" t="s">
        <v>759</v>
      </c>
      <c r="K419" t="str">
        <f>_xlfn.XLOOKUP(Table9[[#This Row],[admin_name]],$G$2:$G$33,$H$2:$H$33, Table9[[#This Row],[admin_name]])</f>
        <v>Nordrhein-Westfalen</v>
      </c>
    </row>
    <row r="420" spans="1:11" x14ac:dyDescent="0.55000000000000004">
      <c r="A420" t="s">
        <v>322</v>
      </c>
      <c r="B420" t="s">
        <v>956</v>
      </c>
      <c r="C420" t="s">
        <v>759</v>
      </c>
      <c r="K420" t="str">
        <f>_xlfn.XLOOKUP(Table9[[#This Row],[admin_name]],$G$2:$G$33,$H$2:$H$33, Table9[[#This Row],[admin_name]])</f>
        <v>Nordrhein-Westfalen</v>
      </c>
    </row>
    <row r="421" spans="1:11" x14ac:dyDescent="0.55000000000000004">
      <c r="A421" t="s">
        <v>164</v>
      </c>
      <c r="B421" t="s">
        <v>956</v>
      </c>
      <c r="C421" t="s">
        <v>759</v>
      </c>
      <c r="K421" t="str">
        <f>_xlfn.XLOOKUP(Table9[[#This Row],[admin_name]],$G$2:$G$33,$H$2:$H$33, Table9[[#This Row],[admin_name]])</f>
        <v>Nordrhein-Westfalen</v>
      </c>
    </row>
    <row r="422" spans="1:11" x14ac:dyDescent="0.55000000000000004">
      <c r="A422" t="s">
        <v>69</v>
      </c>
      <c r="B422" t="s">
        <v>956</v>
      </c>
      <c r="C422" t="s">
        <v>759</v>
      </c>
      <c r="K422" t="str">
        <f>_xlfn.XLOOKUP(Table9[[#This Row],[admin_name]],$G$2:$G$33,$H$2:$H$33, Table9[[#This Row],[admin_name]])</f>
        <v>Nordrhein-Westfalen</v>
      </c>
    </row>
    <row r="423" spans="1:11" x14ac:dyDescent="0.55000000000000004">
      <c r="A423" t="s">
        <v>446</v>
      </c>
      <c r="B423" t="s">
        <v>956</v>
      </c>
      <c r="C423" t="s">
        <v>759</v>
      </c>
      <c r="K423" t="str">
        <f>_xlfn.XLOOKUP(Table9[[#This Row],[admin_name]],$G$2:$G$33,$H$2:$H$33, Table9[[#This Row],[admin_name]])</f>
        <v>Nordrhein-Westfalen</v>
      </c>
    </row>
    <row r="424" spans="1:11" x14ac:dyDescent="0.55000000000000004">
      <c r="A424" t="s">
        <v>135</v>
      </c>
      <c r="B424" t="s">
        <v>956</v>
      </c>
      <c r="C424" t="s">
        <v>759</v>
      </c>
      <c r="K424" t="str">
        <f>_xlfn.XLOOKUP(Table9[[#This Row],[admin_name]],$G$2:$G$33,$H$2:$H$33, Table9[[#This Row],[admin_name]])</f>
        <v>Nordrhein-Westfalen</v>
      </c>
    </row>
    <row r="425" spans="1:11" x14ac:dyDescent="0.55000000000000004">
      <c r="A425" t="s">
        <v>513</v>
      </c>
      <c r="B425" t="s">
        <v>956</v>
      </c>
      <c r="C425" t="s">
        <v>759</v>
      </c>
      <c r="K425" t="str">
        <f>_xlfn.XLOOKUP(Table9[[#This Row],[admin_name]],$G$2:$G$33,$H$2:$H$33, Table9[[#This Row],[admin_name]])</f>
        <v>Nordrhein-Westfalen</v>
      </c>
    </row>
    <row r="426" spans="1:11" x14ac:dyDescent="0.55000000000000004">
      <c r="A426" t="s">
        <v>49</v>
      </c>
      <c r="B426" t="s">
        <v>956</v>
      </c>
      <c r="C426" t="s">
        <v>759</v>
      </c>
      <c r="K426" t="str">
        <f>_xlfn.XLOOKUP(Table9[[#This Row],[admin_name]],$G$2:$G$33,$H$2:$H$33, Table9[[#This Row],[admin_name]])</f>
        <v>Nordrhein-Westfalen</v>
      </c>
    </row>
    <row r="427" spans="1:11" x14ac:dyDescent="0.55000000000000004">
      <c r="A427" t="s">
        <v>93</v>
      </c>
      <c r="B427" t="s">
        <v>956</v>
      </c>
      <c r="C427" t="s">
        <v>759</v>
      </c>
      <c r="K427" t="str">
        <f>_xlfn.XLOOKUP(Table9[[#This Row],[admin_name]],$G$2:$G$33,$H$2:$H$33, Table9[[#This Row],[admin_name]])</f>
        <v>Nordrhein-Westfalen</v>
      </c>
    </row>
    <row r="428" spans="1:11" x14ac:dyDescent="0.55000000000000004">
      <c r="A428" t="s">
        <v>335</v>
      </c>
      <c r="B428" t="s">
        <v>956</v>
      </c>
      <c r="C428" t="s">
        <v>759</v>
      </c>
      <c r="K428" t="str">
        <f>_xlfn.XLOOKUP(Table9[[#This Row],[admin_name]],$G$2:$G$33,$H$2:$H$33, Table9[[#This Row],[admin_name]])</f>
        <v>Nordrhein-Westfalen</v>
      </c>
    </row>
    <row r="429" spans="1:11" x14ac:dyDescent="0.55000000000000004">
      <c r="A429" t="s">
        <v>225</v>
      </c>
      <c r="B429" t="s">
        <v>956</v>
      </c>
      <c r="C429" t="s">
        <v>759</v>
      </c>
      <c r="K429" t="str">
        <f>_xlfn.XLOOKUP(Table9[[#This Row],[admin_name]],$G$2:$G$33,$H$2:$H$33, Table9[[#This Row],[admin_name]])</f>
        <v>Nordrhein-Westfalen</v>
      </c>
    </row>
    <row r="430" spans="1:11" x14ac:dyDescent="0.55000000000000004">
      <c r="A430" t="s">
        <v>110</v>
      </c>
      <c r="B430" t="s">
        <v>956</v>
      </c>
      <c r="C430" t="s">
        <v>759</v>
      </c>
      <c r="K430" t="str">
        <f>_xlfn.XLOOKUP(Table9[[#This Row],[admin_name]],$G$2:$G$33,$H$2:$H$33, Table9[[#This Row],[admin_name]])</f>
        <v>Nordrhein-Westfalen</v>
      </c>
    </row>
    <row r="431" spans="1:11" x14ac:dyDescent="0.55000000000000004">
      <c r="A431" t="s">
        <v>501</v>
      </c>
      <c r="B431" t="s">
        <v>956</v>
      </c>
      <c r="C431" t="s">
        <v>759</v>
      </c>
      <c r="K431" t="str">
        <f>_xlfn.XLOOKUP(Table9[[#This Row],[admin_name]],$G$2:$G$33,$H$2:$H$33, Table9[[#This Row],[admin_name]])</f>
        <v>Nordrhein-Westfalen</v>
      </c>
    </row>
    <row r="432" spans="1:11" x14ac:dyDescent="0.55000000000000004">
      <c r="A432" t="s">
        <v>546</v>
      </c>
      <c r="B432" t="s">
        <v>956</v>
      </c>
      <c r="C432" t="s">
        <v>759</v>
      </c>
      <c r="K432" t="str">
        <f>_xlfn.XLOOKUP(Table9[[#This Row],[admin_name]],$G$2:$G$33,$H$2:$H$33, Table9[[#This Row],[admin_name]])</f>
        <v>Nordrhein-Westfalen</v>
      </c>
    </row>
    <row r="433" spans="1:11" x14ac:dyDescent="0.55000000000000004">
      <c r="A433" t="s">
        <v>325</v>
      </c>
      <c r="B433" t="s">
        <v>956</v>
      </c>
      <c r="C433" t="s">
        <v>759</v>
      </c>
      <c r="K433" t="str">
        <f>_xlfn.XLOOKUP(Table9[[#This Row],[admin_name]],$G$2:$G$33,$H$2:$H$33, Table9[[#This Row],[admin_name]])</f>
        <v>Nordrhein-Westfalen</v>
      </c>
    </row>
    <row r="434" spans="1:11" x14ac:dyDescent="0.55000000000000004">
      <c r="A434" t="s">
        <v>12</v>
      </c>
      <c r="B434" t="s">
        <v>956</v>
      </c>
      <c r="C434" t="s">
        <v>759</v>
      </c>
      <c r="K434" t="str">
        <f>_xlfn.XLOOKUP(Table9[[#This Row],[admin_name]],$G$2:$G$33,$H$2:$H$33, Table9[[#This Row],[admin_name]])</f>
        <v>Nordrhein-Westfalen</v>
      </c>
    </row>
    <row r="435" spans="1:11" x14ac:dyDescent="0.55000000000000004">
      <c r="A435" t="s">
        <v>310</v>
      </c>
      <c r="B435" t="s">
        <v>956</v>
      </c>
      <c r="C435" t="s">
        <v>759</v>
      </c>
      <c r="K435" t="str">
        <f>_xlfn.XLOOKUP(Table9[[#This Row],[admin_name]],$G$2:$G$33,$H$2:$H$33, Table9[[#This Row],[admin_name]])</f>
        <v>Nordrhein-Westfalen</v>
      </c>
    </row>
    <row r="436" spans="1:11" x14ac:dyDescent="0.55000000000000004">
      <c r="A436" t="s">
        <v>9</v>
      </c>
      <c r="B436" t="s">
        <v>956</v>
      </c>
      <c r="C436" t="s">
        <v>759</v>
      </c>
      <c r="K436" t="str">
        <f>_xlfn.XLOOKUP(Table9[[#This Row],[admin_name]],$G$2:$G$33,$H$2:$H$33, Table9[[#This Row],[admin_name]])</f>
        <v>Nordrhein-Westfalen</v>
      </c>
    </row>
    <row r="437" spans="1:11" x14ac:dyDescent="0.55000000000000004">
      <c r="A437" t="s">
        <v>347</v>
      </c>
      <c r="B437" t="s">
        <v>956</v>
      </c>
      <c r="C437" t="s">
        <v>759</v>
      </c>
      <c r="K437" t="str">
        <f>_xlfn.XLOOKUP(Table9[[#This Row],[admin_name]],$G$2:$G$33,$H$2:$H$33, Table9[[#This Row],[admin_name]])</f>
        <v>Nordrhein-Westfalen</v>
      </c>
    </row>
    <row r="438" spans="1:11" x14ac:dyDescent="0.55000000000000004">
      <c r="A438" t="s">
        <v>439</v>
      </c>
      <c r="B438" t="s">
        <v>956</v>
      </c>
      <c r="C438" t="s">
        <v>759</v>
      </c>
      <c r="K438" t="str">
        <f>_xlfn.XLOOKUP(Table9[[#This Row],[admin_name]],$G$2:$G$33,$H$2:$H$33, Table9[[#This Row],[admin_name]])</f>
        <v>Nordrhein-Westfalen</v>
      </c>
    </row>
    <row r="439" spans="1:11" x14ac:dyDescent="0.55000000000000004">
      <c r="A439" t="s">
        <v>39</v>
      </c>
      <c r="B439" t="s">
        <v>956</v>
      </c>
      <c r="C439" t="s">
        <v>759</v>
      </c>
      <c r="K439" t="str">
        <f>_xlfn.XLOOKUP(Table9[[#This Row],[admin_name]],$G$2:$G$33,$H$2:$H$33, Table9[[#This Row],[admin_name]])</f>
        <v>Nordrhein-Westfalen</v>
      </c>
    </row>
    <row r="440" spans="1:11" x14ac:dyDescent="0.55000000000000004">
      <c r="A440" t="s">
        <v>545</v>
      </c>
      <c r="B440" t="s">
        <v>956</v>
      </c>
      <c r="C440" t="s">
        <v>759</v>
      </c>
      <c r="K440" t="str">
        <f>_xlfn.XLOOKUP(Table9[[#This Row],[admin_name]],$G$2:$G$33,$H$2:$H$33, Table9[[#This Row],[admin_name]])</f>
        <v>Nordrhein-Westfalen</v>
      </c>
    </row>
    <row r="441" spans="1:11" x14ac:dyDescent="0.55000000000000004">
      <c r="A441" t="s">
        <v>123</v>
      </c>
      <c r="B441" t="s">
        <v>956</v>
      </c>
      <c r="C441" t="s">
        <v>759</v>
      </c>
      <c r="K441" t="str">
        <f>_xlfn.XLOOKUP(Table9[[#This Row],[admin_name]],$G$2:$G$33,$H$2:$H$33, Table9[[#This Row],[admin_name]])</f>
        <v>Nordrhein-Westfalen</v>
      </c>
    </row>
    <row r="442" spans="1:11" x14ac:dyDescent="0.55000000000000004">
      <c r="A442" t="s">
        <v>18</v>
      </c>
      <c r="B442" t="s">
        <v>956</v>
      </c>
      <c r="C442" t="s">
        <v>759</v>
      </c>
      <c r="K442" t="str">
        <f>_xlfn.XLOOKUP(Table9[[#This Row],[admin_name]],$G$2:$G$33,$H$2:$H$33, Table9[[#This Row],[admin_name]])</f>
        <v>Nordrhein-Westfalen</v>
      </c>
    </row>
    <row r="443" spans="1:11" x14ac:dyDescent="0.55000000000000004">
      <c r="A443" t="s">
        <v>68</v>
      </c>
      <c r="B443" t="s">
        <v>956</v>
      </c>
      <c r="C443" t="s">
        <v>759</v>
      </c>
      <c r="K443" t="str">
        <f>_xlfn.XLOOKUP(Table9[[#This Row],[admin_name]],$G$2:$G$33,$H$2:$H$33, Table9[[#This Row],[admin_name]])</f>
        <v>Nordrhein-Westfalen</v>
      </c>
    </row>
    <row r="444" spans="1:11" x14ac:dyDescent="0.55000000000000004">
      <c r="A444" t="s">
        <v>143</v>
      </c>
      <c r="B444" t="s">
        <v>956</v>
      </c>
      <c r="C444" t="s">
        <v>759</v>
      </c>
      <c r="K444" t="str">
        <f>_xlfn.XLOOKUP(Table9[[#This Row],[admin_name]],$G$2:$G$33,$H$2:$H$33, Table9[[#This Row],[admin_name]])</f>
        <v>Nordrhein-Westfalen</v>
      </c>
    </row>
    <row r="445" spans="1:11" x14ac:dyDescent="0.55000000000000004">
      <c r="A445" t="s">
        <v>226</v>
      </c>
      <c r="B445" t="s">
        <v>956</v>
      </c>
      <c r="C445" t="s">
        <v>759</v>
      </c>
      <c r="K445" t="str">
        <f>_xlfn.XLOOKUP(Table9[[#This Row],[admin_name]],$G$2:$G$33,$H$2:$H$33, Table9[[#This Row],[admin_name]])</f>
        <v>Nordrhein-Westfalen</v>
      </c>
    </row>
    <row r="446" spans="1:11" x14ac:dyDescent="0.55000000000000004">
      <c r="A446" t="s">
        <v>172</v>
      </c>
      <c r="B446" t="s">
        <v>956</v>
      </c>
      <c r="C446" t="s">
        <v>759</v>
      </c>
      <c r="K446" t="str">
        <f>_xlfn.XLOOKUP(Table9[[#This Row],[admin_name]],$G$2:$G$33,$H$2:$H$33, Table9[[#This Row],[admin_name]])</f>
        <v>Nordrhein-Westfalen</v>
      </c>
    </row>
    <row r="447" spans="1:11" x14ac:dyDescent="0.55000000000000004">
      <c r="A447" t="s">
        <v>443</v>
      </c>
      <c r="B447" t="s">
        <v>956</v>
      </c>
      <c r="C447" t="s">
        <v>759</v>
      </c>
      <c r="K447" t="str">
        <f>_xlfn.XLOOKUP(Table9[[#This Row],[admin_name]],$G$2:$G$33,$H$2:$H$33, Table9[[#This Row],[admin_name]])</f>
        <v>Nordrhein-Westfalen</v>
      </c>
    </row>
    <row r="448" spans="1:11" x14ac:dyDescent="0.55000000000000004">
      <c r="A448" t="s">
        <v>542</v>
      </c>
      <c r="B448" t="s">
        <v>956</v>
      </c>
      <c r="C448" t="s">
        <v>759</v>
      </c>
      <c r="K448" t="str">
        <f>_xlfn.XLOOKUP(Table9[[#This Row],[admin_name]],$G$2:$G$33,$H$2:$H$33, Table9[[#This Row],[admin_name]])</f>
        <v>Nordrhein-Westfalen</v>
      </c>
    </row>
    <row r="449" spans="1:11" x14ac:dyDescent="0.55000000000000004">
      <c r="A449" t="s">
        <v>451</v>
      </c>
      <c r="B449" t="s">
        <v>956</v>
      </c>
      <c r="C449" t="s">
        <v>759</v>
      </c>
      <c r="K449" t="str">
        <f>_xlfn.XLOOKUP(Table9[[#This Row],[admin_name]],$G$2:$G$33,$H$2:$H$33, Table9[[#This Row],[admin_name]])</f>
        <v>Nordrhein-Westfalen</v>
      </c>
    </row>
    <row r="450" spans="1:11" x14ac:dyDescent="0.55000000000000004">
      <c r="A450" t="s">
        <v>543</v>
      </c>
      <c r="B450" t="s">
        <v>956</v>
      </c>
      <c r="C450" t="s">
        <v>759</v>
      </c>
      <c r="K450" t="str">
        <f>_xlfn.XLOOKUP(Table9[[#This Row],[admin_name]],$G$2:$G$33,$H$2:$H$33, Table9[[#This Row],[admin_name]])</f>
        <v>Nordrhein-Westfalen</v>
      </c>
    </row>
    <row r="451" spans="1:11" x14ac:dyDescent="0.55000000000000004">
      <c r="A451" t="s">
        <v>266</v>
      </c>
      <c r="B451" t="s">
        <v>956</v>
      </c>
      <c r="C451" t="s">
        <v>759</v>
      </c>
      <c r="K451" t="str">
        <f>_xlfn.XLOOKUP(Table9[[#This Row],[admin_name]],$G$2:$G$33,$H$2:$H$33, Table9[[#This Row],[admin_name]])</f>
        <v>Nordrhein-Westfalen</v>
      </c>
    </row>
    <row r="452" spans="1:11" x14ac:dyDescent="0.55000000000000004">
      <c r="A452" t="s">
        <v>111</v>
      </c>
      <c r="B452" t="s">
        <v>956</v>
      </c>
      <c r="C452" t="s">
        <v>759</v>
      </c>
      <c r="K452" t="str">
        <f>_xlfn.XLOOKUP(Table9[[#This Row],[admin_name]],$G$2:$G$33,$H$2:$H$33, Table9[[#This Row],[admin_name]])</f>
        <v>Nordrhein-Westfalen</v>
      </c>
    </row>
    <row r="453" spans="1:11" x14ac:dyDescent="0.55000000000000004">
      <c r="A453" t="s">
        <v>420</v>
      </c>
      <c r="B453" t="s">
        <v>956</v>
      </c>
      <c r="C453" t="s">
        <v>759</v>
      </c>
      <c r="K453" t="str">
        <f>_xlfn.XLOOKUP(Table9[[#This Row],[admin_name]],$G$2:$G$33,$H$2:$H$33, Table9[[#This Row],[admin_name]])</f>
        <v>Nordrhein-Westfalen</v>
      </c>
    </row>
    <row r="454" spans="1:11" x14ac:dyDescent="0.55000000000000004">
      <c r="A454" t="s">
        <v>324</v>
      </c>
      <c r="B454" t="s">
        <v>956</v>
      </c>
      <c r="C454" t="s">
        <v>759</v>
      </c>
      <c r="K454" t="str">
        <f>_xlfn.XLOOKUP(Table9[[#This Row],[admin_name]],$G$2:$G$33,$H$2:$H$33, Table9[[#This Row],[admin_name]])</f>
        <v>Nordrhein-Westfalen</v>
      </c>
    </row>
    <row r="455" spans="1:11" x14ac:dyDescent="0.55000000000000004">
      <c r="A455" t="s">
        <v>471</v>
      </c>
      <c r="B455" t="s">
        <v>956</v>
      </c>
      <c r="C455" t="s">
        <v>759</v>
      </c>
      <c r="K455" t="str">
        <f>_xlfn.XLOOKUP(Table9[[#This Row],[admin_name]],$G$2:$G$33,$H$2:$H$33, Table9[[#This Row],[admin_name]])</f>
        <v>Nordrhein-Westfalen</v>
      </c>
    </row>
    <row r="456" spans="1:11" x14ac:dyDescent="0.55000000000000004">
      <c r="A456" t="s">
        <v>298</v>
      </c>
      <c r="B456" t="s">
        <v>956</v>
      </c>
      <c r="C456" t="s">
        <v>759</v>
      </c>
      <c r="K456" t="str">
        <f>_xlfn.XLOOKUP(Table9[[#This Row],[admin_name]],$G$2:$G$33,$H$2:$H$33, Table9[[#This Row],[admin_name]])</f>
        <v>Nordrhein-Westfalen</v>
      </c>
    </row>
    <row r="457" spans="1:11" x14ac:dyDescent="0.55000000000000004">
      <c r="A457" t="s">
        <v>361</v>
      </c>
      <c r="B457" t="s">
        <v>956</v>
      </c>
      <c r="C457" t="s">
        <v>759</v>
      </c>
      <c r="K457" t="str">
        <f>_xlfn.XLOOKUP(Table9[[#This Row],[admin_name]],$G$2:$G$33,$H$2:$H$33, Table9[[#This Row],[admin_name]])</f>
        <v>Nordrhein-Westfalen</v>
      </c>
    </row>
    <row r="458" spans="1:11" x14ac:dyDescent="0.55000000000000004">
      <c r="A458" t="s">
        <v>289</v>
      </c>
      <c r="B458" t="s">
        <v>956</v>
      </c>
      <c r="C458" t="s">
        <v>759</v>
      </c>
      <c r="K458" t="str">
        <f>_xlfn.XLOOKUP(Table9[[#This Row],[admin_name]],$G$2:$G$33,$H$2:$H$33, Table9[[#This Row],[admin_name]])</f>
        <v>Nordrhein-Westfalen</v>
      </c>
    </row>
    <row r="459" spans="1:11" x14ac:dyDescent="0.55000000000000004">
      <c r="A459" t="s">
        <v>165</v>
      </c>
      <c r="B459" t="s">
        <v>956</v>
      </c>
      <c r="C459" t="s">
        <v>759</v>
      </c>
      <c r="K459" t="str">
        <f>_xlfn.XLOOKUP(Table9[[#This Row],[admin_name]],$G$2:$G$33,$H$2:$H$33, Table9[[#This Row],[admin_name]])</f>
        <v>Nordrhein-Westfalen</v>
      </c>
    </row>
    <row r="460" spans="1:11" x14ac:dyDescent="0.55000000000000004">
      <c r="A460" t="s">
        <v>185</v>
      </c>
      <c r="B460" t="s">
        <v>956</v>
      </c>
      <c r="C460" t="s">
        <v>759</v>
      </c>
      <c r="K460" t="str">
        <f>_xlfn.XLOOKUP(Table9[[#This Row],[admin_name]],$G$2:$G$33,$H$2:$H$33, Table9[[#This Row],[admin_name]])</f>
        <v>Nordrhein-Westfalen</v>
      </c>
    </row>
    <row r="461" spans="1:11" x14ac:dyDescent="0.55000000000000004">
      <c r="A461" t="s">
        <v>368</v>
      </c>
      <c r="B461" t="s">
        <v>956</v>
      </c>
      <c r="C461" t="s">
        <v>759</v>
      </c>
      <c r="K461" t="str">
        <f>_xlfn.XLOOKUP(Table9[[#This Row],[admin_name]],$G$2:$G$33,$H$2:$H$33, Table9[[#This Row],[admin_name]])</f>
        <v>Nordrhein-Westfalen</v>
      </c>
    </row>
    <row r="462" spans="1:11" x14ac:dyDescent="0.55000000000000004">
      <c r="A462" t="s">
        <v>132</v>
      </c>
      <c r="B462" t="s">
        <v>956</v>
      </c>
      <c r="C462" t="s">
        <v>759</v>
      </c>
      <c r="K462" t="str">
        <f>_xlfn.XLOOKUP(Table9[[#This Row],[admin_name]],$G$2:$G$33,$H$2:$H$33, Table9[[#This Row],[admin_name]])</f>
        <v>Nordrhein-Westfalen</v>
      </c>
    </row>
    <row r="463" spans="1:11" x14ac:dyDescent="0.55000000000000004">
      <c r="A463" t="s">
        <v>128</v>
      </c>
      <c r="B463" t="s">
        <v>956</v>
      </c>
      <c r="C463" t="s">
        <v>759</v>
      </c>
      <c r="K463" t="str">
        <f>_xlfn.XLOOKUP(Table9[[#This Row],[admin_name]],$G$2:$G$33,$H$2:$H$33, Table9[[#This Row],[admin_name]])</f>
        <v>Nordrhein-Westfalen</v>
      </c>
    </row>
    <row r="464" spans="1:11" x14ac:dyDescent="0.55000000000000004">
      <c r="A464" t="s">
        <v>95</v>
      </c>
      <c r="B464" t="s">
        <v>956</v>
      </c>
      <c r="C464" t="s">
        <v>759</v>
      </c>
      <c r="K464" t="str">
        <f>_xlfn.XLOOKUP(Table9[[#This Row],[admin_name]],$G$2:$G$33,$H$2:$H$33, Table9[[#This Row],[admin_name]])</f>
        <v>Nordrhein-Westfalen</v>
      </c>
    </row>
    <row r="465" spans="1:11" x14ac:dyDescent="0.55000000000000004">
      <c r="A465" t="s">
        <v>7</v>
      </c>
      <c r="B465" t="s">
        <v>956</v>
      </c>
      <c r="C465" t="s">
        <v>759</v>
      </c>
      <c r="K465" t="str">
        <f>_xlfn.XLOOKUP(Table9[[#This Row],[admin_name]],$G$2:$G$33,$H$2:$H$33, Table9[[#This Row],[admin_name]])</f>
        <v>Nordrhein-Westfalen</v>
      </c>
    </row>
    <row r="466" spans="1:11" x14ac:dyDescent="0.55000000000000004">
      <c r="A466" t="s">
        <v>229</v>
      </c>
      <c r="B466" t="s">
        <v>956</v>
      </c>
      <c r="C466" t="s">
        <v>759</v>
      </c>
      <c r="K466" t="str">
        <f>_xlfn.XLOOKUP(Table9[[#This Row],[admin_name]],$G$2:$G$33,$H$2:$H$33, Table9[[#This Row],[admin_name]])</f>
        <v>Nordrhein-Westfalen</v>
      </c>
    </row>
    <row r="467" spans="1:11" x14ac:dyDescent="0.55000000000000004">
      <c r="A467" t="s">
        <v>75</v>
      </c>
      <c r="B467" t="s">
        <v>956</v>
      </c>
      <c r="C467" t="s">
        <v>759</v>
      </c>
      <c r="K467" t="str">
        <f>_xlfn.XLOOKUP(Table9[[#This Row],[admin_name]],$G$2:$G$33,$H$2:$H$33, Table9[[#This Row],[admin_name]])</f>
        <v>Nordrhein-Westfalen</v>
      </c>
    </row>
    <row r="468" spans="1:11" x14ac:dyDescent="0.55000000000000004">
      <c r="A468" t="s">
        <v>392</v>
      </c>
      <c r="B468" t="s">
        <v>956</v>
      </c>
      <c r="C468" t="s">
        <v>759</v>
      </c>
      <c r="K468" t="str">
        <f>_xlfn.XLOOKUP(Table9[[#This Row],[admin_name]],$G$2:$G$33,$H$2:$H$33, Table9[[#This Row],[admin_name]])</f>
        <v>Nordrhein-Westfalen</v>
      </c>
    </row>
    <row r="469" spans="1:11" x14ac:dyDescent="0.55000000000000004">
      <c r="A469" t="s">
        <v>492</v>
      </c>
      <c r="B469" t="s">
        <v>956</v>
      </c>
      <c r="C469" t="s">
        <v>759</v>
      </c>
      <c r="K469" t="str">
        <f>_xlfn.XLOOKUP(Table9[[#This Row],[admin_name]],$G$2:$G$33,$H$2:$H$33, Table9[[#This Row],[admin_name]])</f>
        <v>Nordrhein-Westfalen</v>
      </c>
    </row>
    <row r="470" spans="1:11" x14ac:dyDescent="0.55000000000000004">
      <c r="A470" t="s">
        <v>374</v>
      </c>
      <c r="B470" t="s">
        <v>956</v>
      </c>
      <c r="C470" t="s">
        <v>759</v>
      </c>
      <c r="K470" t="str">
        <f>_xlfn.XLOOKUP(Table9[[#This Row],[admin_name]],$G$2:$G$33,$H$2:$H$33, Table9[[#This Row],[admin_name]])</f>
        <v>Nordrhein-Westfalen</v>
      </c>
    </row>
    <row r="471" spans="1:11" x14ac:dyDescent="0.55000000000000004">
      <c r="A471" t="s">
        <v>187</v>
      </c>
      <c r="B471" t="s">
        <v>956</v>
      </c>
      <c r="C471" t="s">
        <v>759</v>
      </c>
      <c r="K471" t="str">
        <f>_xlfn.XLOOKUP(Table9[[#This Row],[admin_name]],$G$2:$G$33,$H$2:$H$33, Table9[[#This Row],[admin_name]])</f>
        <v>Nordrhein-Westfalen</v>
      </c>
    </row>
    <row r="472" spans="1:11" x14ac:dyDescent="0.55000000000000004">
      <c r="A472" t="s">
        <v>342</v>
      </c>
      <c r="B472" t="s">
        <v>956</v>
      </c>
      <c r="C472" t="s">
        <v>759</v>
      </c>
      <c r="K472" t="str">
        <f>_xlfn.XLOOKUP(Table9[[#This Row],[admin_name]],$G$2:$G$33,$H$2:$H$33, Table9[[#This Row],[admin_name]])</f>
        <v>Nordrhein-Westfalen</v>
      </c>
    </row>
    <row r="473" spans="1:11" x14ac:dyDescent="0.55000000000000004">
      <c r="A473" t="s">
        <v>547</v>
      </c>
      <c r="B473" t="s">
        <v>956</v>
      </c>
      <c r="C473" t="s">
        <v>759</v>
      </c>
      <c r="K473" t="str">
        <f>_xlfn.XLOOKUP(Table9[[#This Row],[admin_name]],$G$2:$G$33,$H$2:$H$33, Table9[[#This Row],[admin_name]])</f>
        <v>Nordrhein-Westfalen</v>
      </c>
    </row>
    <row r="474" spans="1:11" x14ac:dyDescent="0.55000000000000004">
      <c r="A474" t="s">
        <v>29</v>
      </c>
      <c r="B474" t="s">
        <v>956</v>
      </c>
      <c r="C474" t="s">
        <v>759</v>
      </c>
      <c r="K474" t="str">
        <f>_xlfn.XLOOKUP(Table9[[#This Row],[admin_name]],$G$2:$G$33,$H$2:$H$33, Table9[[#This Row],[admin_name]])</f>
        <v>Nordrhein-Westfalen</v>
      </c>
    </row>
    <row r="475" spans="1:11" x14ac:dyDescent="0.55000000000000004">
      <c r="A475" t="s">
        <v>158</v>
      </c>
      <c r="B475" t="s">
        <v>956</v>
      </c>
      <c r="C475" t="s">
        <v>759</v>
      </c>
      <c r="K475" t="str">
        <f>_xlfn.XLOOKUP(Table9[[#This Row],[admin_name]],$G$2:$G$33,$H$2:$H$33, Table9[[#This Row],[admin_name]])</f>
        <v>Nordrhein-Westfalen</v>
      </c>
    </row>
    <row r="476" spans="1:11" x14ac:dyDescent="0.55000000000000004">
      <c r="A476" t="s">
        <v>104</v>
      </c>
      <c r="B476" t="s">
        <v>956</v>
      </c>
      <c r="C476" t="s">
        <v>759</v>
      </c>
      <c r="K476" t="str">
        <f>_xlfn.XLOOKUP(Table9[[#This Row],[admin_name]],$G$2:$G$33,$H$2:$H$33, Table9[[#This Row],[admin_name]])</f>
        <v>Nordrhein-Westfalen</v>
      </c>
    </row>
    <row r="477" spans="1:11" x14ac:dyDescent="0.55000000000000004">
      <c r="A477" t="s">
        <v>209</v>
      </c>
      <c r="B477" t="s">
        <v>956</v>
      </c>
      <c r="C477" t="s">
        <v>759</v>
      </c>
      <c r="K477" t="str">
        <f>_xlfn.XLOOKUP(Table9[[#This Row],[admin_name]],$G$2:$G$33,$H$2:$H$33, Table9[[#This Row],[admin_name]])</f>
        <v>Nordrhein-Westfalen</v>
      </c>
    </row>
    <row r="478" spans="1:11" x14ac:dyDescent="0.55000000000000004">
      <c r="A478" t="s">
        <v>481</v>
      </c>
      <c r="B478" t="s">
        <v>956</v>
      </c>
      <c r="C478" t="s">
        <v>759</v>
      </c>
      <c r="K478" t="str">
        <f>_xlfn.XLOOKUP(Table9[[#This Row],[admin_name]],$G$2:$G$33,$H$2:$H$33, Table9[[#This Row],[admin_name]])</f>
        <v>Nordrhein-Westfalen</v>
      </c>
    </row>
    <row r="479" spans="1:11" x14ac:dyDescent="0.55000000000000004">
      <c r="A479" t="s">
        <v>133</v>
      </c>
      <c r="B479" t="s">
        <v>956</v>
      </c>
      <c r="C479" t="s">
        <v>759</v>
      </c>
      <c r="K479" t="str">
        <f>_xlfn.XLOOKUP(Table9[[#This Row],[admin_name]],$G$2:$G$33,$H$2:$H$33, Table9[[#This Row],[admin_name]])</f>
        <v>Nordrhein-Westfalen</v>
      </c>
    </row>
    <row r="480" spans="1:11" x14ac:dyDescent="0.55000000000000004">
      <c r="A480" t="s">
        <v>57</v>
      </c>
      <c r="B480" t="s">
        <v>956</v>
      </c>
      <c r="C480" t="s">
        <v>759</v>
      </c>
      <c r="K480" t="str">
        <f>_xlfn.XLOOKUP(Table9[[#This Row],[admin_name]],$G$2:$G$33,$H$2:$H$33, Table9[[#This Row],[admin_name]])</f>
        <v>Nordrhein-Westfalen</v>
      </c>
    </row>
    <row r="481" spans="1:11" x14ac:dyDescent="0.55000000000000004">
      <c r="A481" t="s">
        <v>27</v>
      </c>
      <c r="B481" t="s">
        <v>956</v>
      </c>
      <c r="C481" t="s">
        <v>759</v>
      </c>
      <c r="K481" t="str">
        <f>_xlfn.XLOOKUP(Table9[[#This Row],[admin_name]],$G$2:$G$33,$H$2:$H$33, Table9[[#This Row],[admin_name]])</f>
        <v>Nordrhein-Westfalen</v>
      </c>
    </row>
    <row r="482" spans="1:11" x14ac:dyDescent="0.55000000000000004">
      <c r="A482" t="s">
        <v>207</v>
      </c>
      <c r="B482" t="s">
        <v>956</v>
      </c>
      <c r="C482" t="s">
        <v>759</v>
      </c>
      <c r="K482" t="str">
        <f>_xlfn.XLOOKUP(Table9[[#This Row],[admin_name]],$G$2:$G$33,$H$2:$H$33, Table9[[#This Row],[admin_name]])</f>
        <v>Nordrhein-Westfalen</v>
      </c>
    </row>
    <row r="483" spans="1:11" x14ac:dyDescent="0.55000000000000004">
      <c r="A483" t="s">
        <v>401</v>
      </c>
      <c r="B483" t="s">
        <v>956</v>
      </c>
      <c r="C483" t="s">
        <v>759</v>
      </c>
      <c r="K483" t="str">
        <f>_xlfn.XLOOKUP(Table9[[#This Row],[admin_name]],$G$2:$G$33,$H$2:$H$33, Table9[[#This Row],[admin_name]])</f>
        <v>Nordrhein-Westfalen</v>
      </c>
    </row>
    <row r="484" spans="1:11" x14ac:dyDescent="0.55000000000000004">
      <c r="A484" t="s">
        <v>341</v>
      </c>
      <c r="B484" t="s">
        <v>956</v>
      </c>
      <c r="C484" t="s">
        <v>759</v>
      </c>
      <c r="K484" t="str">
        <f>_xlfn.XLOOKUP(Table9[[#This Row],[admin_name]],$G$2:$G$33,$H$2:$H$33, Table9[[#This Row],[admin_name]])</f>
        <v>Nordrhein-Westfalen</v>
      </c>
    </row>
    <row r="485" spans="1:11" x14ac:dyDescent="0.55000000000000004">
      <c r="A485" t="s">
        <v>389</v>
      </c>
      <c r="B485" t="s">
        <v>956</v>
      </c>
      <c r="C485" t="s">
        <v>759</v>
      </c>
      <c r="K485" t="str">
        <f>_xlfn.XLOOKUP(Table9[[#This Row],[admin_name]],$G$2:$G$33,$H$2:$H$33, Table9[[#This Row],[admin_name]])</f>
        <v>Nordrhein-Westfalen</v>
      </c>
    </row>
    <row r="486" spans="1:11" x14ac:dyDescent="0.55000000000000004">
      <c r="A486" t="s">
        <v>416</v>
      </c>
      <c r="B486" t="s">
        <v>956</v>
      </c>
      <c r="C486" t="s">
        <v>759</v>
      </c>
      <c r="K486" t="str">
        <f>_xlfn.XLOOKUP(Table9[[#This Row],[admin_name]],$G$2:$G$33,$H$2:$H$33, Table9[[#This Row],[admin_name]])</f>
        <v>Nordrhein-Westfalen</v>
      </c>
    </row>
    <row r="487" spans="1:11" x14ac:dyDescent="0.55000000000000004">
      <c r="A487" t="s">
        <v>130</v>
      </c>
      <c r="B487" t="s">
        <v>957</v>
      </c>
      <c r="C487" t="s">
        <v>759</v>
      </c>
      <c r="K487" t="str">
        <f>_xlfn.XLOOKUP(Table9[[#This Row],[admin_name]],$G$2:$G$33,$H$2:$H$33, Table9[[#This Row],[admin_name]])</f>
        <v>Rheinland-Pfalz</v>
      </c>
    </row>
    <row r="488" spans="1:11" x14ac:dyDescent="0.55000000000000004">
      <c r="A488" t="s">
        <v>388</v>
      </c>
      <c r="B488" t="s">
        <v>957</v>
      </c>
      <c r="C488" t="s">
        <v>759</v>
      </c>
      <c r="K488" t="str">
        <f>_xlfn.XLOOKUP(Table9[[#This Row],[admin_name]],$G$2:$G$33,$H$2:$H$33, Table9[[#This Row],[admin_name]])</f>
        <v>Rheinland-Pfalz</v>
      </c>
    </row>
    <row r="489" spans="1:11" x14ac:dyDescent="0.55000000000000004">
      <c r="A489" t="s">
        <v>171</v>
      </c>
      <c r="B489" t="s">
        <v>957</v>
      </c>
      <c r="C489" t="s">
        <v>759</v>
      </c>
      <c r="K489" t="str">
        <f>_xlfn.XLOOKUP(Table9[[#This Row],[admin_name]],$G$2:$G$33,$H$2:$H$33, Table9[[#This Row],[admin_name]])</f>
        <v>Rheinland-Pfalz</v>
      </c>
    </row>
    <row r="490" spans="1:11" x14ac:dyDescent="0.55000000000000004">
      <c r="A490" t="s">
        <v>413</v>
      </c>
      <c r="B490" t="s">
        <v>957</v>
      </c>
      <c r="C490" t="s">
        <v>759</v>
      </c>
      <c r="K490" t="str">
        <f>_xlfn.XLOOKUP(Table9[[#This Row],[admin_name]],$G$2:$G$33,$H$2:$H$33, Table9[[#This Row],[admin_name]])</f>
        <v>Rheinland-Pfalz</v>
      </c>
    </row>
    <row r="491" spans="1:11" x14ac:dyDescent="0.55000000000000004">
      <c r="A491" t="s">
        <v>525</v>
      </c>
      <c r="B491" t="s">
        <v>957</v>
      </c>
      <c r="C491" t="s">
        <v>759</v>
      </c>
      <c r="K491" t="str">
        <f>_xlfn.XLOOKUP(Table9[[#This Row],[admin_name]],$G$2:$G$33,$H$2:$H$33, Table9[[#This Row],[admin_name]])</f>
        <v>Rheinland-Pfalz</v>
      </c>
    </row>
    <row r="492" spans="1:11" x14ac:dyDescent="0.55000000000000004">
      <c r="A492" t="s">
        <v>327</v>
      </c>
      <c r="B492" t="s">
        <v>957</v>
      </c>
      <c r="C492" t="s">
        <v>759</v>
      </c>
      <c r="K492" t="str">
        <f>_xlfn.XLOOKUP(Table9[[#This Row],[admin_name]],$G$2:$G$33,$H$2:$H$33, Table9[[#This Row],[admin_name]])</f>
        <v>Rheinland-Pfalz</v>
      </c>
    </row>
    <row r="493" spans="1:11" x14ac:dyDescent="0.55000000000000004">
      <c r="A493" t="s">
        <v>153</v>
      </c>
      <c r="B493" t="s">
        <v>957</v>
      </c>
      <c r="C493" t="s">
        <v>759</v>
      </c>
      <c r="K493" t="str">
        <f>_xlfn.XLOOKUP(Table9[[#This Row],[admin_name]],$G$2:$G$33,$H$2:$H$33, Table9[[#This Row],[admin_name]])</f>
        <v>Rheinland-Pfalz</v>
      </c>
    </row>
    <row r="494" spans="1:11" x14ac:dyDescent="0.55000000000000004">
      <c r="A494" t="s">
        <v>109</v>
      </c>
      <c r="B494" t="s">
        <v>957</v>
      </c>
      <c r="C494" t="s">
        <v>759</v>
      </c>
      <c r="K494" t="str">
        <f>_xlfn.XLOOKUP(Table9[[#This Row],[admin_name]],$G$2:$G$33,$H$2:$H$33, Table9[[#This Row],[admin_name]])</f>
        <v>Rheinland-Pfalz</v>
      </c>
    </row>
    <row r="495" spans="1:11" x14ac:dyDescent="0.55000000000000004">
      <c r="A495" t="s">
        <v>34</v>
      </c>
      <c r="B495" t="s">
        <v>957</v>
      </c>
      <c r="C495" t="s">
        <v>759</v>
      </c>
      <c r="K495" t="str">
        <f>_xlfn.XLOOKUP(Table9[[#This Row],[admin_name]],$G$2:$G$33,$H$2:$H$33, Table9[[#This Row],[admin_name]])</f>
        <v>Rheinland-Pfalz</v>
      </c>
    </row>
    <row r="496" spans="1:11" x14ac:dyDescent="0.55000000000000004">
      <c r="A496" t="s">
        <v>245</v>
      </c>
      <c r="B496" t="s">
        <v>957</v>
      </c>
      <c r="C496" t="s">
        <v>759</v>
      </c>
      <c r="K496" t="str">
        <f>_xlfn.XLOOKUP(Table9[[#This Row],[admin_name]],$G$2:$G$33,$H$2:$H$33, Table9[[#This Row],[admin_name]])</f>
        <v>Rheinland-Pfalz</v>
      </c>
    </row>
    <row r="497" spans="1:11" x14ac:dyDescent="0.55000000000000004">
      <c r="A497" t="s">
        <v>365</v>
      </c>
      <c r="B497" t="s">
        <v>957</v>
      </c>
      <c r="C497" t="s">
        <v>759</v>
      </c>
      <c r="K497" t="str">
        <f>_xlfn.XLOOKUP(Table9[[#This Row],[admin_name]],$G$2:$G$33,$H$2:$H$33, Table9[[#This Row],[admin_name]])</f>
        <v>Rheinland-Pfalz</v>
      </c>
    </row>
    <row r="498" spans="1:11" x14ac:dyDescent="0.55000000000000004">
      <c r="A498" t="s">
        <v>549</v>
      </c>
      <c r="B498" t="s">
        <v>957</v>
      </c>
      <c r="C498" t="s">
        <v>759</v>
      </c>
      <c r="K498" t="str">
        <f>_xlfn.XLOOKUP(Table9[[#This Row],[admin_name]],$G$2:$G$33,$H$2:$H$33, Table9[[#This Row],[admin_name]])</f>
        <v>Rheinland-Pfalz</v>
      </c>
    </row>
    <row r="499" spans="1:11" x14ac:dyDescent="0.55000000000000004">
      <c r="A499" t="s">
        <v>210</v>
      </c>
      <c r="B499" t="s">
        <v>957</v>
      </c>
      <c r="C499" t="s">
        <v>759</v>
      </c>
      <c r="K499" t="str">
        <f>_xlfn.XLOOKUP(Table9[[#This Row],[admin_name]],$G$2:$G$33,$H$2:$H$33, Table9[[#This Row],[admin_name]])</f>
        <v>Rheinland-Pfalz</v>
      </c>
    </row>
    <row r="500" spans="1:11" x14ac:dyDescent="0.55000000000000004">
      <c r="A500" t="s">
        <v>283</v>
      </c>
      <c r="B500" t="s">
        <v>957</v>
      </c>
      <c r="C500" t="s">
        <v>759</v>
      </c>
      <c r="K500" t="str">
        <f>_xlfn.XLOOKUP(Table9[[#This Row],[admin_name]],$G$2:$G$33,$H$2:$H$33, Table9[[#This Row],[admin_name]])</f>
        <v>Rheinland-Pfalz</v>
      </c>
    </row>
    <row r="501" spans="1:11" x14ac:dyDescent="0.55000000000000004">
      <c r="A501" t="s">
        <v>248</v>
      </c>
      <c r="B501" t="s">
        <v>957</v>
      </c>
      <c r="C501" t="s">
        <v>759</v>
      </c>
      <c r="K501" t="str">
        <f>_xlfn.XLOOKUP(Table9[[#This Row],[admin_name]],$G$2:$G$33,$H$2:$H$33, Table9[[#This Row],[admin_name]])</f>
        <v>Rheinland-Pfalz</v>
      </c>
    </row>
    <row r="502" spans="1:11" x14ac:dyDescent="0.55000000000000004">
      <c r="A502" t="s">
        <v>398</v>
      </c>
      <c r="B502" t="s">
        <v>957</v>
      </c>
      <c r="C502" t="s">
        <v>759</v>
      </c>
      <c r="K502" t="str">
        <f>_xlfn.XLOOKUP(Table9[[#This Row],[admin_name]],$G$2:$G$33,$H$2:$H$33, Table9[[#This Row],[admin_name]])</f>
        <v>Rheinland-Pfalz</v>
      </c>
    </row>
    <row r="503" spans="1:11" x14ac:dyDescent="0.55000000000000004">
      <c r="A503" t="s">
        <v>320</v>
      </c>
      <c r="B503" t="s">
        <v>957</v>
      </c>
      <c r="C503" t="s">
        <v>759</v>
      </c>
      <c r="K503" t="str">
        <f>_xlfn.XLOOKUP(Table9[[#This Row],[admin_name]],$G$2:$G$33,$H$2:$H$33, Table9[[#This Row],[admin_name]])</f>
        <v>Rheinland-Pfalz</v>
      </c>
    </row>
    <row r="504" spans="1:11" x14ac:dyDescent="0.55000000000000004">
      <c r="A504" t="s">
        <v>508</v>
      </c>
      <c r="B504" t="s">
        <v>957</v>
      </c>
      <c r="C504" t="s">
        <v>759</v>
      </c>
      <c r="K504" t="str">
        <f>_xlfn.XLOOKUP(Table9[[#This Row],[admin_name]],$G$2:$G$33,$H$2:$H$33, Table9[[#This Row],[admin_name]])</f>
        <v>Rheinland-Pfalz</v>
      </c>
    </row>
    <row r="505" spans="1:11" x14ac:dyDescent="0.55000000000000004">
      <c r="A505" t="s">
        <v>232</v>
      </c>
      <c r="B505" t="s">
        <v>957</v>
      </c>
      <c r="C505" t="s">
        <v>759</v>
      </c>
      <c r="K505" t="str">
        <f>_xlfn.XLOOKUP(Table9[[#This Row],[admin_name]],$G$2:$G$33,$H$2:$H$33, Table9[[#This Row],[admin_name]])</f>
        <v>Rheinland-Pfalz</v>
      </c>
    </row>
    <row r="506" spans="1:11" x14ac:dyDescent="0.55000000000000004">
      <c r="A506" t="s">
        <v>518</v>
      </c>
      <c r="B506" t="s">
        <v>957</v>
      </c>
      <c r="C506" t="s">
        <v>759</v>
      </c>
      <c r="K506" t="str">
        <f>_xlfn.XLOOKUP(Table9[[#This Row],[admin_name]],$G$2:$G$33,$H$2:$H$33, Table9[[#This Row],[admin_name]])</f>
        <v>Rheinland-Pfalz</v>
      </c>
    </row>
    <row r="507" spans="1:11" x14ac:dyDescent="0.55000000000000004">
      <c r="A507" t="s">
        <v>355</v>
      </c>
      <c r="B507" t="s">
        <v>957</v>
      </c>
      <c r="C507" t="s">
        <v>759</v>
      </c>
      <c r="K507" t="str">
        <f>_xlfn.XLOOKUP(Table9[[#This Row],[admin_name]],$G$2:$G$33,$H$2:$H$33, Table9[[#This Row],[admin_name]])</f>
        <v>Rheinland-Pfalz</v>
      </c>
    </row>
    <row r="508" spans="1:11" x14ac:dyDescent="0.55000000000000004">
      <c r="A508" t="s">
        <v>137</v>
      </c>
      <c r="B508" t="s">
        <v>957</v>
      </c>
      <c r="C508" t="s">
        <v>759</v>
      </c>
      <c r="K508" t="str">
        <f>_xlfn.XLOOKUP(Table9[[#This Row],[admin_name]],$G$2:$G$33,$H$2:$H$33, Table9[[#This Row],[admin_name]])</f>
        <v>Rheinland-Pfalz</v>
      </c>
    </row>
    <row r="509" spans="1:11" x14ac:dyDescent="0.55000000000000004">
      <c r="A509" t="s">
        <v>476</v>
      </c>
      <c r="B509" t="s">
        <v>957</v>
      </c>
      <c r="C509" t="s">
        <v>759</v>
      </c>
      <c r="K509" t="str">
        <f>_xlfn.XLOOKUP(Table9[[#This Row],[admin_name]],$G$2:$G$33,$H$2:$H$33, Table9[[#This Row],[admin_name]])</f>
        <v>Rheinland-Pfalz</v>
      </c>
    </row>
    <row r="510" spans="1:11" x14ac:dyDescent="0.55000000000000004">
      <c r="A510" t="s">
        <v>780</v>
      </c>
      <c r="B510" t="s">
        <v>957</v>
      </c>
      <c r="C510" t="s">
        <v>759</v>
      </c>
      <c r="K510" t="str">
        <f>_xlfn.XLOOKUP(Table9[[#This Row],[admin_name]],$G$2:$G$33,$H$2:$H$33, Table9[[#This Row],[admin_name]])</f>
        <v>Rheinland-Pfalz</v>
      </c>
    </row>
    <row r="511" spans="1:11" x14ac:dyDescent="0.55000000000000004">
      <c r="A511" t="s">
        <v>784</v>
      </c>
      <c r="B511" t="s">
        <v>957</v>
      </c>
      <c r="C511" t="s">
        <v>759</v>
      </c>
      <c r="K511" t="str">
        <f>_xlfn.XLOOKUP(Table9[[#This Row],[admin_name]],$G$2:$G$33,$H$2:$H$33, Table9[[#This Row],[admin_name]])</f>
        <v>Rheinland-Pfalz</v>
      </c>
    </row>
    <row r="512" spans="1:11" x14ac:dyDescent="0.55000000000000004">
      <c r="A512" t="s">
        <v>800</v>
      </c>
      <c r="B512" t="s">
        <v>957</v>
      </c>
      <c r="C512" t="s">
        <v>759</v>
      </c>
      <c r="K512" t="str">
        <f>_xlfn.XLOOKUP(Table9[[#This Row],[admin_name]],$G$2:$G$33,$H$2:$H$33, Table9[[#This Row],[admin_name]])</f>
        <v>Rheinland-Pfalz</v>
      </c>
    </row>
    <row r="513" spans="1:11" x14ac:dyDescent="0.55000000000000004">
      <c r="A513" t="s">
        <v>809</v>
      </c>
      <c r="B513" t="s">
        <v>957</v>
      </c>
      <c r="C513" t="s">
        <v>759</v>
      </c>
      <c r="K513" t="str">
        <f>_xlfn.XLOOKUP(Table9[[#This Row],[admin_name]],$G$2:$G$33,$H$2:$H$33, Table9[[#This Row],[admin_name]])</f>
        <v>Rheinland-Pfalz</v>
      </c>
    </row>
    <row r="514" spans="1:11" x14ac:dyDescent="0.55000000000000004">
      <c r="A514" t="s">
        <v>810</v>
      </c>
      <c r="B514" t="s">
        <v>957</v>
      </c>
      <c r="C514" t="s">
        <v>759</v>
      </c>
      <c r="K514" t="str">
        <f>_xlfn.XLOOKUP(Table9[[#This Row],[admin_name]],$G$2:$G$33,$H$2:$H$33, Table9[[#This Row],[admin_name]])</f>
        <v>Rheinland-Pfalz</v>
      </c>
    </row>
    <row r="515" spans="1:11" x14ac:dyDescent="0.55000000000000004">
      <c r="A515" t="s">
        <v>811</v>
      </c>
      <c r="B515" t="s">
        <v>957</v>
      </c>
      <c r="C515" t="s">
        <v>759</v>
      </c>
      <c r="K515" t="str">
        <f>_xlfn.XLOOKUP(Table9[[#This Row],[admin_name]],$G$2:$G$33,$H$2:$H$33, Table9[[#This Row],[admin_name]])</f>
        <v>Rheinland-Pfalz</v>
      </c>
    </row>
    <row r="516" spans="1:11" x14ac:dyDescent="0.55000000000000004">
      <c r="A516" t="s">
        <v>813</v>
      </c>
      <c r="B516" t="s">
        <v>957</v>
      </c>
      <c r="C516" t="s">
        <v>759</v>
      </c>
      <c r="K516" t="str">
        <f>_xlfn.XLOOKUP(Table9[[#This Row],[admin_name]],$G$2:$G$33,$H$2:$H$33, Table9[[#This Row],[admin_name]])</f>
        <v>Rheinland-Pfalz</v>
      </c>
    </row>
    <row r="517" spans="1:11" x14ac:dyDescent="0.55000000000000004">
      <c r="A517" t="s">
        <v>814</v>
      </c>
      <c r="B517" t="s">
        <v>957</v>
      </c>
      <c r="C517" t="s">
        <v>759</v>
      </c>
      <c r="K517" t="str">
        <f>_xlfn.XLOOKUP(Table9[[#This Row],[admin_name]],$G$2:$G$33,$H$2:$H$33, Table9[[#This Row],[admin_name]])</f>
        <v>Rheinland-Pfalz</v>
      </c>
    </row>
    <row r="518" spans="1:11" x14ac:dyDescent="0.55000000000000004">
      <c r="A518" t="s">
        <v>816</v>
      </c>
      <c r="B518" t="s">
        <v>957</v>
      </c>
      <c r="C518" t="s">
        <v>759</v>
      </c>
      <c r="K518" t="str">
        <f>_xlfn.XLOOKUP(Table9[[#This Row],[admin_name]],$G$2:$G$33,$H$2:$H$33, Table9[[#This Row],[admin_name]])</f>
        <v>Rheinland-Pfalz</v>
      </c>
    </row>
    <row r="519" spans="1:11" x14ac:dyDescent="0.55000000000000004">
      <c r="A519" t="s">
        <v>817</v>
      </c>
      <c r="B519" t="s">
        <v>957</v>
      </c>
      <c r="C519" t="s">
        <v>759</v>
      </c>
      <c r="K519" t="str">
        <f>_xlfn.XLOOKUP(Table9[[#This Row],[admin_name]],$G$2:$G$33,$H$2:$H$33, Table9[[#This Row],[admin_name]])</f>
        <v>Rheinland-Pfalz</v>
      </c>
    </row>
    <row r="520" spans="1:11" x14ac:dyDescent="0.55000000000000004">
      <c r="A520" t="s">
        <v>125</v>
      </c>
      <c r="B520" t="s">
        <v>755</v>
      </c>
      <c r="C520" t="s">
        <v>759</v>
      </c>
      <c r="K520" t="str">
        <f>_xlfn.XLOOKUP(Table9[[#This Row],[admin_name]],$G$2:$G$33,$H$2:$H$33, Table9[[#This Row],[admin_name]])</f>
        <v>Saarland</v>
      </c>
    </row>
    <row r="521" spans="1:11" x14ac:dyDescent="0.55000000000000004">
      <c r="A521" t="s">
        <v>80</v>
      </c>
      <c r="B521" t="s">
        <v>755</v>
      </c>
      <c r="C521" t="s">
        <v>759</v>
      </c>
      <c r="K521" t="str">
        <f>_xlfn.XLOOKUP(Table9[[#This Row],[admin_name]],$G$2:$G$33,$H$2:$H$33, Table9[[#This Row],[admin_name]])</f>
        <v>Saarland</v>
      </c>
    </row>
    <row r="522" spans="1:11" x14ac:dyDescent="0.55000000000000004">
      <c r="A522" t="s">
        <v>363</v>
      </c>
      <c r="B522" t="s">
        <v>755</v>
      </c>
      <c r="C522" t="s">
        <v>759</v>
      </c>
      <c r="K522" t="str">
        <f>_xlfn.XLOOKUP(Table9[[#This Row],[admin_name]],$G$2:$G$33,$H$2:$H$33, Table9[[#This Row],[admin_name]])</f>
        <v>Saarland</v>
      </c>
    </row>
    <row r="523" spans="1:11" x14ac:dyDescent="0.55000000000000004">
      <c r="A523" t="s">
        <v>106</v>
      </c>
      <c r="B523" t="s">
        <v>755</v>
      </c>
      <c r="C523" t="s">
        <v>759</v>
      </c>
      <c r="K523" t="str">
        <f>_xlfn.XLOOKUP(Table9[[#This Row],[admin_name]],$G$2:$G$33,$H$2:$H$33, Table9[[#This Row],[admin_name]])</f>
        <v>Saarland</v>
      </c>
    </row>
    <row r="524" spans="1:11" x14ac:dyDescent="0.55000000000000004">
      <c r="A524" t="s">
        <v>142</v>
      </c>
      <c r="B524" t="s">
        <v>755</v>
      </c>
      <c r="C524" t="s">
        <v>759</v>
      </c>
      <c r="K524" t="str">
        <f>_xlfn.XLOOKUP(Table9[[#This Row],[admin_name]],$G$2:$G$33,$H$2:$H$33, Table9[[#This Row],[admin_name]])</f>
        <v>Saarland</v>
      </c>
    </row>
    <row r="525" spans="1:11" x14ac:dyDescent="0.55000000000000004">
      <c r="A525" t="s">
        <v>287</v>
      </c>
      <c r="B525" t="s">
        <v>755</v>
      </c>
      <c r="C525" t="s">
        <v>759</v>
      </c>
      <c r="K525" t="str">
        <f>_xlfn.XLOOKUP(Table9[[#This Row],[admin_name]],$G$2:$G$33,$H$2:$H$33, Table9[[#This Row],[admin_name]])</f>
        <v>Saarland</v>
      </c>
    </row>
    <row r="526" spans="1:11" x14ac:dyDescent="0.55000000000000004">
      <c r="A526" t="s">
        <v>460</v>
      </c>
      <c r="B526" t="s">
        <v>755</v>
      </c>
      <c r="C526" t="s">
        <v>759</v>
      </c>
      <c r="K526" t="str">
        <f>_xlfn.XLOOKUP(Table9[[#This Row],[admin_name]],$G$2:$G$33,$H$2:$H$33, Table9[[#This Row],[admin_name]])</f>
        <v>Saarland</v>
      </c>
    </row>
    <row r="527" spans="1:11" x14ac:dyDescent="0.55000000000000004">
      <c r="A527" t="s">
        <v>140</v>
      </c>
      <c r="B527" t="s">
        <v>755</v>
      </c>
      <c r="C527" t="s">
        <v>759</v>
      </c>
      <c r="K527" t="str">
        <f>_xlfn.XLOOKUP(Table9[[#This Row],[admin_name]],$G$2:$G$33,$H$2:$H$33, Table9[[#This Row],[admin_name]])</f>
        <v>Saarland</v>
      </c>
    </row>
    <row r="528" spans="1:11" x14ac:dyDescent="0.55000000000000004">
      <c r="A528" t="s">
        <v>484</v>
      </c>
      <c r="B528" t="s">
        <v>958</v>
      </c>
      <c r="C528" t="s">
        <v>759</v>
      </c>
      <c r="K528" t="str">
        <f>_xlfn.XLOOKUP(Table9[[#This Row],[admin_name]],$G$2:$G$33,$H$2:$H$33, Table9[[#This Row],[admin_name]])</f>
        <v>Sachsen</v>
      </c>
    </row>
    <row r="529" spans="1:11" x14ac:dyDescent="0.55000000000000004">
      <c r="A529" t="s">
        <v>469</v>
      </c>
      <c r="B529" t="s">
        <v>958</v>
      </c>
      <c r="C529" t="s">
        <v>759</v>
      </c>
      <c r="K529" t="str">
        <f>_xlfn.XLOOKUP(Table9[[#This Row],[admin_name]],$G$2:$G$33,$H$2:$H$33, Table9[[#This Row],[admin_name]])</f>
        <v>Sachsen</v>
      </c>
    </row>
    <row r="530" spans="1:11" x14ac:dyDescent="0.55000000000000004">
      <c r="A530" t="s">
        <v>435</v>
      </c>
      <c r="B530" t="s">
        <v>958</v>
      </c>
      <c r="C530" t="s">
        <v>759</v>
      </c>
      <c r="K530" t="str">
        <f>_xlfn.XLOOKUP(Table9[[#This Row],[admin_name]],$G$2:$G$33,$H$2:$H$33, Table9[[#This Row],[admin_name]])</f>
        <v>Sachsen</v>
      </c>
    </row>
    <row r="531" spans="1:11" x14ac:dyDescent="0.55000000000000004">
      <c r="A531" t="s">
        <v>551</v>
      </c>
      <c r="B531" t="s">
        <v>958</v>
      </c>
      <c r="C531" t="s">
        <v>759</v>
      </c>
      <c r="K531" t="str">
        <f>_xlfn.XLOOKUP(Table9[[#This Row],[admin_name]],$G$2:$G$33,$H$2:$H$33, Table9[[#This Row],[admin_name]])</f>
        <v>Sachsen</v>
      </c>
    </row>
    <row r="532" spans="1:11" x14ac:dyDescent="0.55000000000000004">
      <c r="A532" t="s">
        <v>173</v>
      </c>
      <c r="B532" t="s">
        <v>958</v>
      </c>
      <c r="C532" t="s">
        <v>759</v>
      </c>
      <c r="K532" t="str">
        <f>_xlfn.XLOOKUP(Table9[[#This Row],[admin_name]],$G$2:$G$33,$H$2:$H$33, Table9[[#This Row],[admin_name]])</f>
        <v>Sachsen</v>
      </c>
    </row>
    <row r="533" spans="1:11" x14ac:dyDescent="0.55000000000000004">
      <c r="A533" t="s">
        <v>249</v>
      </c>
      <c r="B533" t="s">
        <v>958</v>
      </c>
      <c r="C533" t="s">
        <v>759</v>
      </c>
      <c r="K533" t="str">
        <f>_xlfn.XLOOKUP(Table9[[#This Row],[admin_name]],$G$2:$G$33,$H$2:$H$33, Table9[[#This Row],[admin_name]])</f>
        <v>Sachsen</v>
      </c>
    </row>
    <row r="534" spans="1:11" x14ac:dyDescent="0.55000000000000004">
      <c r="A534" t="s">
        <v>196</v>
      </c>
      <c r="B534" t="s">
        <v>958</v>
      </c>
      <c r="C534" t="s">
        <v>759</v>
      </c>
      <c r="K534" t="str">
        <f>_xlfn.XLOOKUP(Table9[[#This Row],[admin_name]],$G$2:$G$33,$H$2:$H$33, Table9[[#This Row],[admin_name]])</f>
        <v>Sachsen</v>
      </c>
    </row>
    <row r="535" spans="1:11" x14ac:dyDescent="0.55000000000000004">
      <c r="A535" t="s">
        <v>479</v>
      </c>
      <c r="B535" t="s">
        <v>958</v>
      </c>
      <c r="C535" t="s">
        <v>759</v>
      </c>
      <c r="K535" t="str">
        <f>_xlfn.XLOOKUP(Table9[[#This Row],[admin_name]],$G$2:$G$33,$H$2:$H$33, Table9[[#This Row],[admin_name]])</f>
        <v>Sachsen</v>
      </c>
    </row>
    <row r="536" spans="1:11" x14ac:dyDescent="0.55000000000000004">
      <c r="A536" t="s">
        <v>91</v>
      </c>
      <c r="B536" t="s">
        <v>958</v>
      </c>
      <c r="C536" t="s">
        <v>759</v>
      </c>
      <c r="K536" t="str">
        <f>_xlfn.XLOOKUP(Table9[[#This Row],[admin_name]],$G$2:$G$33,$H$2:$H$33, Table9[[#This Row],[admin_name]])</f>
        <v>Sachsen</v>
      </c>
    </row>
    <row r="537" spans="1:11" x14ac:dyDescent="0.55000000000000004">
      <c r="A537" t="s">
        <v>87</v>
      </c>
      <c r="B537" t="s">
        <v>958</v>
      </c>
      <c r="C537" t="s">
        <v>759</v>
      </c>
      <c r="K537" t="str">
        <f>_xlfn.XLOOKUP(Table9[[#This Row],[admin_name]],$G$2:$G$33,$H$2:$H$33, Table9[[#This Row],[admin_name]])</f>
        <v>Sachsen</v>
      </c>
    </row>
    <row r="538" spans="1:11" x14ac:dyDescent="0.55000000000000004">
      <c r="A538" t="s">
        <v>159</v>
      </c>
      <c r="B538" t="s">
        <v>958</v>
      </c>
      <c r="C538" t="s">
        <v>759</v>
      </c>
      <c r="K538" t="str">
        <f>_xlfn.XLOOKUP(Table9[[#This Row],[admin_name]],$G$2:$G$33,$H$2:$H$33, Table9[[#This Row],[admin_name]])</f>
        <v>Sachsen</v>
      </c>
    </row>
    <row r="539" spans="1:11" x14ac:dyDescent="0.55000000000000004">
      <c r="A539" t="s">
        <v>357</v>
      </c>
      <c r="B539" t="s">
        <v>958</v>
      </c>
      <c r="C539" t="s">
        <v>759</v>
      </c>
      <c r="K539" t="str">
        <f>_xlfn.XLOOKUP(Table9[[#This Row],[admin_name]],$G$2:$G$33,$H$2:$H$33, Table9[[#This Row],[admin_name]])</f>
        <v>Sachsen</v>
      </c>
    </row>
    <row r="540" spans="1:11" x14ac:dyDescent="0.55000000000000004">
      <c r="A540" t="s">
        <v>10</v>
      </c>
      <c r="B540" t="s">
        <v>958</v>
      </c>
      <c r="C540" t="s">
        <v>759</v>
      </c>
      <c r="K540" t="str">
        <f>_xlfn.XLOOKUP(Table9[[#This Row],[admin_name]],$G$2:$G$33,$H$2:$H$33, Table9[[#This Row],[admin_name]])</f>
        <v>Sachsen</v>
      </c>
    </row>
    <row r="541" spans="1:11" x14ac:dyDescent="0.55000000000000004">
      <c r="A541" t="s">
        <v>219</v>
      </c>
      <c r="B541" t="s">
        <v>958</v>
      </c>
      <c r="C541" t="s">
        <v>759</v>
      </c>
      <c r="K541" t="str">
        <f>_xlfn.XLOOKUP(Table9[[#This Row],[admin_name]],$G$2:$G$33,$H$2:$H$33, Table9[[#This Row],[admin_name]])</f>
        <v>Sachsen</v>
      </c>
    </row>
    <row r="542" spans="1:11" x14ac:dyDescent="0.55000000000000004">
      <c r="A542" t="s">
        <v>445</v>
      </c>
      <c r="B542" t="s">
        <v>958</v>
      </c>
      <c r="C542" t="s">
        <v>759</v>
      </c>
      <c r="K542" t="str">
        <f>_xlfn.XLOOKUP(Table9[[#This Row],[admin_name]],$G$2:$G$33,$H$2:$H$33, Table9[[#This Row],[admin_name]])</f>
        <v>Sachsen</v>
      </c>
    </row>
    <row r="543" spans="1:11" x14ac:dyDescent="0.55000000000000004">
      <c r="A543" t="s">
        <v>46</v>
      </c>
      <c r="B543" t="s">
        <v>958</v>
      </c>
      <c r="C543" t="s">
        <v>759</v>
      </c>
      <c r="K543" t="str">
        <f>_xlfn.XLOOKUP(Table9[[#This Row],[admin_name]],$G$2:$G$33,$H$2:$H$33, Table9[[#This Row],[admin_name]])</f>
        <v>Sachsen</v>
      </c>
    </row>
    <row r="544" spans="1:11" x14ac:dyDescent="0.55000000000000004">
      <c r="A544" t="s">
        <v>373</v>
      </c>
      <c r="B544" t="s">
        <v>958</v>
      </c>
      <c r="C544" t="s">
        <v>759</v>
      </c>
      <c r="K544" t="str">
        <f>_xlfn.XLOOKUP(Table9[[#This Row],[admin_name]],$G$2:$G$33,$H$2:$H$33, Table9[[#This Row],[admin_name]])</f>
        <v>Sachsen</v>
      </c>
    </row>
    <row r="545" spans="1:11" x14ac:dyDescent="0.55000000000000004">
      <c r="A545" t="s">
        <v>62</v>
      </c>
      <c r="B545" t="s">
        <v>958</v>
      </c>
      <c r="C545" t="s">
        <v>759</v>
      </c>
      <c r="K545" t="str">
        <f>_xlfn.XLOOKUP(Table9[[#This Row],[admin_name]],$G$2:$G$33,$H$2:$H$33, Table9[[#This Row],[admin_name]])</f>
        <v>Sachsen</v>
      </c>
    </row>
    <row r="546" spans="1:11" x14ac:dyDescent="0.55000000000000004">
      <c r="A546" t="s">
        <v>194</v>
      </c>
      <c r="B546" t="s">
        <v>958</v>
      </c>
      <c r="C546" t="s">
        <v>759</v>
      </c>
      <c r="K546" t="str">
        <f>_xlfn.XLOOKUP(Table9[[#This Row],[admin_name]],$G$2:$G$33,$H$2:$H$33, Table9[[#This Row],[admin_name]])</f>
        <v>Sachsen</v>
      </c>
    </row>
    <row r="547" spans="1:11" x14ac:dyDescent="0.55000000000000004">
      <c r="A547" t="s">
        <v>506</v>
      </c>
      <c r="B547" t="s">
        <v>958</v>
      </c>
      <c r="C547" t="s">
        <v>759</v>
      </c>
      <c r="K547" t="str">
        <f>_xlfn.XLOOKUP(Table9[[#This Row],[admin_name]],$G$2:$G$33,$H$2:$H$33, Table9[[#This Row],[admin_name]])</f>
        <v>Sachsen</v>
      </c>
    </row>
    <row r="548" spans="1:11" x14ac:dyDescent="0.55000000000000004">
      <c r="A548" t="s">
        <v>533</v>
      </c>
      <c r="B548" t="s">
        <v>959</v>
      </c>
      <c r="C548" t="s">
        <v>759</v>
      </c>
      <c r="K548" t="str">
        <f>_xlfn.XLOOKUP(Table9[[#This Row],[admin_name]],$G$2:$G$33,$H$2:$H$33, Table9[[#This Row],[admin_name]])</f>
        <v>Sachsen-Anhalt</v>
      </c>
    </row>
    <row r="549" spans="1:11" x14ac:dyDescent="0.55000000000000004">
      <c r="A549" t="s">
        <v>136</v>
      </c>
      <c r="B549" t="s">
        <v>959</v>
      </c>
      <c r="C549" t="s">
        <v>759</v>
      </c>
      <c r="K549" t="str">
        <f>_xlfn.XLOOKUP(Table9[[#This Row],[admin_name]],$G$2:$G$33,$H$2:$H$33, Table9[[#This Row],[admin_name]])</f>
        <v>Sachsen-Anhalt</v>
      </c>
    </row>
    <row r="550" spans="1:11" x14ac:dyDescent="0.55000000000000004">
      <c r="A550" t="s">
        <v>37</v>
      </c>
      <c r="B550" t="s">
        <v>959</v>
      </c>
      <c r="C550" t="s">
        <v>759</v>
      </c>
      <c r="K550" t="str">
        <f>_xlfn.XLOOKUP(Table9[[#This Row],[admin_name]],$G$2:$G$33,$H$2:$H$33, Table9[[#This Row],[admin_name]])</f>
        <v>Sachsen-Anhalt</v>
      </c>
    </row>
    <row r="551" spans="1:11" x14ac:dyDescent="0.55000000000000004">
      <c r="A551" t="s">
        <v>517</v>
      </c>
      <c r="B551" t="s">
        <v>959</v>
      </c>
      <c r="C551" t="s">
        <v>759</v>
      </c>
      <c r="K551" t="str">
        <f>_xlfn.XLOOKUP(Table9[[#This Row],[admin_name]],$G$2:$G$33,$H$2:$H$33, Table9[[#This Row],[admin_name]])</f>
        <v>Sachsen-Anhalt</v>
      </c>
    </row>
    <row r="552" spans="1:11" x14ac:dyDescent="0.55000000000000004">
      <c r="A552" t="s">
        <v>274</v>
      </c>
      <c r="B552" t="s">
        <v>959</v>
      </c>
      <c r="C552" t="s">
        <v>759</v>
      </c>
      <c r="K552" t="str">
        <f>_xlfn.XLOOKUP(Table9[[#This Row],[admin_name]],$G$2:$G$33,$H$2:$H$33, Table9[[#This Row],[admin_name]])</f>
        <v>Sachsen-Anhalt</v>
      </c>
    </row>
    <row r="553" spans="1:11" x14ac:dyDescent="0.55000000000000004">
      <c r="A553" t="s">
        <v>242</v>
      </c>
      <c r="B553" t="s">
        <v>959</v>
      </c>
      <c r="C553" t="s">
        <v>759</v>
      </c>
      <c r="K553" t="str">
        <f>_xlfn.XLOOKUP(Table9[[#This Row],[admin_name]],$G$2:$G$33,$H$2:$H$33, Table9[[#This Row],[admin_name]])</f>
        <v>Sachsen-Anhalt</v>
      </c>
    </row>
    <row r="554" spans="1:11" x14ac:dyDescent="0.55000000000000004">
      <c r="A554" t="s">
        <v>277</v>
      </c>
      <c r="B554" t="s">
        <v>959</v>
      </c>
      <c r="C554" t="s">
        <v>759</v>
      </c>
      <c r="K554" t="str">
        <f>_xlfn.XLOOKUP(Table9[[#This Row],[admin_name]],$G$2:$G$33,$H$2:$H$33, Table9[[#This Row],[admin_name]])</f>
        <v>Sachsen-Anhalt</v>
      </c>
    </row>
    <row r="555" spans="1:11" x14ac:dyDescent="0.55000000000000004">
      <c r="A555" t="s">
        <v>61</v>
      </c>
      <c r="B555" t="s">
        <v>959</v>
      </c>
      <c r="C555" t="s">
        <v>759</v>
      </c>
      <c r="K555" t="str">
        <f>_xlfn.XLOOKUP(Table9[[#This Row],[admin_name]],$G$2:$G$33,$H$2:$H$33, Table9[[#This Row],[admin_name]])</f>
        <v>Sachsen-Anhalt</v>
      </c>
    </row>
    <row r="556" spans="1:11" x14ac:dyDescent="0.55000000000000004">
      <c r="A556" t="s">
        <v>419</v>
      </c>
      <c r="B556" t="s">
        <v>959</v>
      </c>
      <c r="C556" t="s">
        <v>759</v>
      </c>
      <c r="K556" t="str">
        <f>_xlfn.XLOOKUP(Table9[[#This Row],[admin_name]],$G$2:$G$33,$H$2:$H$33, Table9[[#This Row],[admin_name]])</f>
        <v>Sachsen-Anhalt</v>
      </c>
    </row>
    <row r="557" spans="1:11" x14ac:dyDescent="0.55000000000000004">
      <c r="A557" t="s">
        <v>441</v>
      </c>
      <c r="B557" t="s">
        <v>959</v>
      </c>
      <c r="C557" t="s">
        <v>759</v>
      </c>
      <c r="K557" t="str">
        <f>_xlfn.XLOOKUP(Table9[[#This Row],[admin_name]],$G$2:$G$33,$H$2:$H$33, Table9[[#This Row],[admin_name]])</f>
        <v>Sachsen-Anhalt</v>
      </c>
    </row>
    <row r="558" spans="1:11" x14ac:dyDescent="0.55000000000000004">
      <c r="A558" t="s">
        <v>198</v>
      </c>
      <c r="B558" t="s">
        <v>959</v>
      </c>
      <c r="C558" t="s">
        <v>759</v>
      </c>
      <c r="K558" t="str">
        <f>_xlfn.XLOOKUP(Table9[[#This Row],[admin_name]],$G$2:$G$33,$H$2:$H$33, Table9[[#This Row],[admin_name]])</f>
        <v>Sachsen-Anhalt</v>
      </c>
    </row>
    <row r="559" spans="1:11" x14ac:dyDescent="0.55000000000000004">
      <c r="A559" t="s">
        <v>47</v>
      </c>
      <c r="B559" t="s">
        <v>959</v>
      </c>
      <c r="C559" t="s">
        <v>759</v>
      </c>
      <c r="K559" t="str">
        <f>_xlfn.XLOOKUP(Table9[[#This Row],[admin_name]],$G$2:$G$33,$H$2:$H$33, Table9[[#This Row],[admin_name]])</f>
        <v>Sachsen-Anhalt</v>
      </c>
    </row>
    <row r="560" spans="1:11" x14ac:dyDescent="0.55000000000000004">
      <c r="A560" t="s">
        <v>33</v>
      </c>
      <c r="B560" t="s">
        <v>959</v>
      </c>
      <c r="C560" t="s">
        <v>759</v>
      </c>
      <c r="K560" t="str">
        <f>_xlfn.XLOOKUP(Table9[[#This Row],[admin_name]],$G$2:$G$33,$H$2:$H$33, Table9[[#This Row],[admin_name]])</f>
        <v>Sachsen-Anhalt</v>
      </c>
    </row>
    <row r="561" spans="1:11" x14ac:dyDescent="0.55000000000000004">
      <c r="A561" t="s">
        <v>190</v>
      </c>
      <c r="B561" t="s">
        <v>959</v>
      </c>
      <c r="C561" t="s">
        <v>759</v>
      </c>
      <c r="K561" t="str">
        <f>_xlfn.XLOOKUP(Table9[[#This Row],[admin_name]],$G$2:$G$33,$H$2:$H$33, Table9[[#This Row],[admin_name]])</f>
        <v>Sachsen-Anhalt</v>
      </c>
    </row>
    <row r="562" spans="1:11" x14ac:dyDescent="0.55000000000000004">
      <c r="A562" t="s">
        <v>539</v>
      </c>
      <c r="B562" t="s">
        <v>959</v>
      </c>
      <c r="C562" t="s">
        <v>759</v>
      </c>
      <c r="K562" t="str">
        <f>_xlfn.XLOOKUP(Table9[[#This Row],[admin_name]],$G$2:$G$33,$H$2:$H$33, Table9[[#This Row],[admin_name]])</f>
        <v>Sachsen-Anhalt</v>
      </c>
    </row>
    <row r="563" spans="1:11" x14ac:dyDescent="0.55000000000000004">
      <c r="A563" t="s">
        <v>426</v>
      </c>
      <c r="B563" t="s">
        <v>959</v>
      </c>
      <c r="C563" t="s">
        <v>759</v>
      </c>
      <c r="K563" t="str">
        <f>_xlfn.XLOOKUP(Table9[[#This Row],[admin_name]],$G$2:$G$33,$H$2:$H$33, Table9[[#This Row],[admin_name]])</f>
        <v>Sachsen-Anhalt</v>
      </c>
    </row>
    <row r="564" spans="1:11" x14ac:dyDescent="0.55000000000000004">
      <c r="A564" t="s">
        <v>119</v>
      </c>
      <c r="B564" t="s">
        <v>959</v>
      </c>
      <c r="C564" t="s">
        <v>759</v>
      </c>
      <c r="K564" t="str">
        <f>_xlfn.XLOOKUP(Table9[[#This Row],[admin_name]],$G$2:$G$33,$H$2:$H$33, Table9[[#This Row],[admin_name]])</f>
        <v>Sachsen-Anhalt</v>
      </c>
    </row>
    <row r="565" spans="1:11" x14ac:dyDescent="0.55000000000000004">
      <c r="A565" t="s">
        <v>195</v>
      </c>
      <c r="B565" t="s">
        <v>959</v>
      </c>
      <c r="C565" t="s">
        <v>759</v>
      </c>
      <c r="K565" t="str">
        <f>_xlfn.XLOOKUP(Table9[[#This Row],[admin_name]],$G$2:$G$33,$H$2:$H$33, Table9[[#This Row],[admin_name]])</f>
        <v>Sachsen-Anhalt</v>
      </c>
    </row>
    <row r="566" spans="1:11" x14ac:dyDescent="0.55000000000000004">
      <c r="A566" t="s">
        <v>148</v>
      </c>
      <c r="B566" t="s">
        <v>959</v>
      </c>
      <c r="C566" t="s">
        <v>759</v>
      </c>
      <c r="K566" t="str">
        <f>_xlfn.XLOOKUP(Table9[[#This Row],[admin_name]],$G$2:$G$33,$H$2:$H$33, Table9[[#This Row],[admin_name]])</f>
        <v>Sachsen-Anhalt</v>
      </c>
    </row>
    <row r="567" spans="1:11" x14ac:dyDescent="0.55000000000000004">
      <c r="A567" t="s">
        <v>822</v>
      </c>
      <c r="B567" t="s">
        <v>959</v>
      </c>
      <c r="C567" t="s">
        <v>759</v>
      </c>
      <c r="K567" t="str">
        <f>_xlfn.XLOOKUP(Table9[[#This Row],[admin_name]],$G$2:$G$33,$H$2:$H$33, Table9[[#This Row],[admin_name]])</f>
        <v>Sachsen-Anhalt</v>
      </c>
    </row>
    <row r="568" spans="1:11" x14ac:dyDescent="0.55000000000000004">
      <c r="A568" t="s">
        <v>250</v>
      </c>
      <c r="B568" t="s">
        <v>756</v>
      </c>
      <c r="C568" t="s">
        <v>759</v>
      </c>
      <c r="K568" t="str">
        <f>_xlfn.XLOOKUP(Table9[[#This Row],[admin_name]],$G$2:$G$33,$H$2:$H$33, Table9[[#This Row],[admin_name]])</f>
        <v>Schleswig-Holstein</v>
      </c>
    </row>
    <row r="569" spans="1:11" x14ac:dyDescent="0.55000000000000004">
      <c r="A569" t="s">
        <v>224</v>
      </c>
      <c r="B569" t="s">
        <v>756</v>
      </c>
      <c r="C569" t="s">
        <v>759</v>
      </c>
      <c r="K569" t="str">
        <f>_xlfn.XLOOKUP(Table9[[#This Row],[admin_name]],$G$2:$G$33,$H$2:$H$33, Table9[[#This Row],[admin_name]])</f>
        <v>Schleswig-Holstein</v>
      </c>
    </row>
    <row r="570" spans="1:11" x14ac:dyDescent="0.55000000000000004">
      <c r="A570" t="s">
        <v>344</v>
      </c>
      <c r="B570" t="s">
        <v>756</v>
      </c>
      <c r="C570" t="s">
        <v>759</v>
      </c>
      <c r="K570" t="str">
        <f>_xlfn.XLOOKUP(Table9[[#This Row],[admin_name]],$G$2:$G$33,$H$2:$H$33, Table9[[#This Row],[admin_name]])</f>
        <v>Schleswig-Holstein</v>
      </c>
    </row>
    <row r="571" spans="1:11" x14ac:dyDescent="0.55000000000000004">
      <c r="A571" t="s">
        <v>448</v>
      </c>
      <c r="B571" t="s">
        <v>756</v>
      </c>
      <c r="C571" t="s">
        <v>759</v>
      </c>
      <c r="K571" t="str">
        <f>_xlfn.XLOOKUP(Table9[[#This Row],[admin_name]],$G$2:$G$33,$H$2:$H$33, Table9[[#This Row],[admin_name]])</f>
        <v>Schleswig-Holstein</v>
      </c>
    </row>
    <row r="572" spans="1:11" x14ac:dyDescent="0.55000000000000004">
      <c r="A572" t="s">
        <v>147</v>
      </c>
      <c r="B572" t="s">
        <v>756</v>
      </c>
      <c r="C572" t="s">
        <v>759</v>
      </c>
      <c r="K572" t="str">
        <f>_xlfn.XLOOKUP(Table9[[#This Row],[admin_name]],$G$2:$G$33,$H$2:$H$33, Table9[[#This Row],[admin_name]])</f>
        <v>Schleswig-Holstein</v>
      </c>
    </row>
    <row r="573" spans="1:11" x14ac:dyDescent="0.55000000000000004">
      <c r="A573" t="s">
        <v>77</v>
      </c>
      <c r="B573" t="s">
        <v>756</v>
      </c>
      <c r="C573" t="s">
        <v>759</v>
      </c>
      <c r="K573" t="str">
        <f>_xlfn.XLOOKUP(Table9[[#This Row],[admin_name]],$G$2:$G$33,$H$2:$H$33, Table9[[#This Row],[admin_name]])</f>
        <v>Schleswig-Holstein</v>
      </c>
    </row>
    <row r="574" spans="1:11" x14ac:dyDescent="0.55000000000000004">
      <c r="A574" t="s">
        <v>313</v>
      </c>
      <c r="B574" t="s">
        <v>756</v>
      </c>
      <c r="C574" t="s">
        <v>759</v>
      </c>
      <c r="K574" t="str">
        <f>_xlfn.XLOOKUP(Table9[[#This Row],[admin_name]],$G$2:$G$33,$H$2:$H$33, Table9[[#This Row],[admin_name]])</f>
        <v>Schleswig-Holstein</v>
      </c>
    </row>
    <row r="575" spans="1:11" x14ac:dyDescent="0.55000000000000004">
      <c r="A575" t="s">
        <v>218</v>
      </c>
      <c r="B575" t="s">
        <v>756</v>
      </c>
      <c r="C575" t="s">
        <v>759</v>
      </c>
      <c r="K575" t="str">
        <f>_xlfn.XLOOKUP(Table9[[#This Row],[admin_name]],$G$2:$G$33,$H$2:$H$33, Table9[[#This Row],[admin_name]])</f>
        <v>Schleswig-Holstein</v>
      </c>
    </row>
    <row r="576" spans="1:11" x14ac:dyDescent="0.55000000000000004">
      <c r="A576" t="s">
        <v>301</v>
      </c>
      <c r="B576" t="s">
        <v>756</v>
      </c>
      <c r="C576" t="s">
        <v>759</v>
      </c>
      <c r="K576" t="str">
        <f>_xlfn.XLOOKUP(Table9[[#This Row],[admin_name]],$G$2:$G$33,$H$2:$H$33, Table9[[#This Row],[admin_name]])</f>
        <v>Schleswig-Holstein</v>
      </c>
    </row>
    <row r="577" spans="1:11" x14ac:dyDescent="0.55000000000000004">
      <c r="A577" t="s">
        <v>237</v>
      </c>
      <c r="B577" t="s">
        <v>756</v>
      </c>
      <c r="C577" t="s">
        <v>759</v>
      </c>
      <c r="K577" t="str">
        <f>_xlfn.XLOOKUP(Table9[[#This Row],[admin_name]],$G$2:$G$33,$H$2:$H$33, Table9[[#This Row],[admin_name]])</f>
        <v>Schleswig-Holstein</v>
      </c>
    </row>
    <row r="578" spans="1:11" x14ac:dyDescent="0.55000000000000004">
      <c r="A578" t="s">
        <v>246</v>
      </c>
      <c r="B578" t="s">
        <v>756</v>
      </c>
      <c r="C578" t="s">
        <v>759</v>
      </c>
      <c r="K578" t="str">
        <f>_xlfn.XLOOKUP(Table9[[#This Row],[admin_name]],$G$2:$G$33,$H$2:$H$33, Table9[[#This Row],[admin_name]])</f>
        <v>Schleswig-Holstein</v>
      </c>
    </row>
    <row r="579" spans="1:11" x14ac:dyDescent="0.55000000000000004">
      <c r="A579" t="s">
        <v>270</v>
      </c>
      <c r="B579" t="s">
        <v>756</v>
      </c>
      <c r="C579" t="s">
        <v>759</v>
      </c>
      <c r="K579" t="str">
        <f>_xlfn.XLOOKUP(Table9[[#This Row],[admin_name]],$G$2:$G$33,$H$2:$H$33, Table9[[#This Row],[admin_name]])</f>
        <v>Schleswig-Holstein</v>
      </c>
    </row>
    <row r="580" spans="1:11" x14ac:dyDescent="0.55000000000000004">
      <c r="A580" t="s">
        <v>359</v>
      </c>
      <c r="B580" t="s">
        <v>756</v>
      </c>
      <c r="C580" t="s">
        <v>759</v>
      </c>
      <c r="K580" t="str">
        <f>_xlfn.XLOOKUP(Table9[[#This Row],[admin_name]],$G$2:$G$33,$H$2:$H$33, Table9[[#This Row],[admin_name]])</f>
        <v>Schleswig-Holstein</v>
      </c>
    </row>
    <row r="581" spans="1:11" x14ac:dyDescent="0.55000000000000004">
      <c r="A581" t="s">
        <v>391</v>
      </c>
      <c r="B581" t="s">
        <v>756</v>
      </c>
      <c r="C581" t="s">
        <v>759</v>
      </c>
      <c r="K581" t="str">
        <f>_xlfn.XLOOKUP(Table9[[#This Row],[admin_name]],$G$2:$G$33,$H$2:$H$33, Table9[[#This Row],[admin_name]])</f>
        <v>Schleswig-Holstein</v>
      </c>
    </row>
    <row r="582" spans="1:11" x14ac:dyDescent="0.55000000000000004">
      <c r="A582" t="s">
        <v>263</v>
      </c>
      <c r="B582" t="s">
        <v>756</v>
      </c>
      <c r="C582" t="s">
        <v>759</v>
      </c>
      <c r="K582" t="str">
        <f>_xlfn.XLOOKUP(Table9[[#This Row],[admin_name]],$G$2:$G$33,$H$2:$H$33, Table9[[#This Row],[admin_name]])</f>
        <v>Schleswig-Holstein</v>
      </c>
    </row>
    <row r="583" spans="1:11" x14ac:dyDescent="0.55000000000000004">
      <c r="A583" t="s">
        <v>257</v>
      </c>
      <c r="B583" t="s">
        <v>756</v>
      </c>
      <c r="C583" t="s">
        <v>759</v>
      </c>
      <c r="K583" t="str">
        <f>_xlfn.XLOOKUP(Table9[[#This Row],[admin_name]],$G$2:$G$33,$H$2:$H$33, Table9[[#This Row],[admin_name]])</f>
        <v>Schleswig-Holstein</v>
      </c>
    </row>
    <row r="584" spans="1:11" x14ac:dyDescent="0.55000000000000004">
      <c r="A584" t="s">
        <v>30</v>
      </c>
      <c r="B584" t="s">
        <v>756</v>
      </c>
      <c r="C584" t="s">
        <v>759</v>
      </c>
      <c r="K584" t="str">
        <f>_xlfn.XLOOKUP(Table9[[#This Row],[admin_name]],$G$2:$G$33,$H$2:$H$33, Table9[[#This Row],[admin_name]])</f>
        <v>Schleswig-Holstein</v>
      </c>
    </row>
    <row r="585" spans="1:11" x14ac:dyDescent="0.55000000000000004">
      <c r="A585" t="s">
        <v>769</v>
      </c>
      <c r="B585" t="s">
        <v>756</v>
      </c>
      <c r="C585" t="s">
        <v>759</v>
      </c>
      <c r="K585" t="str">
        <f>_xlfn.XLOOKUP(Table9[[#This Row],[admin_name]],$G$2:$G$33,$H$2:$H$33, Table9[[#This Row],[admin_name]])</f>
        <v>Schleswig-Holstein</v>
      </c>
    </row>
    <row r="586" spans="1:11" x14ac:dyDescent="0.55000000000000004">
      <c r="A586" t="s">
        <v>771</v>
      </c>
      <c r="B586" t="s">
        <v>756</v>
      </c>
      <c r="C586" t="s">
        <v>759</v>
      </c>
      <c r="K586" t="str">
        <f>_xlfn.XLOOKUP(Table9[[#This Row],[admin_name]],$G$2:$G$33,$H$2:$H$33, Table9[[#This Row],[admin_name]])</f>
        <v>Schleswig-Holstein</v>
      </c>
    </row>
    <row r="587" spans="1:11" x14ac:dyDescent="0.55000000000000004">
      <c r="A587" t="s">
        <v>781</v>
      </c>
      <c r="B587" t="s">
        <v>756</v>
      </c>
      <c r="C587" t="s">
        <v>759</v>
      </c>
      <c r="K587" t="str">
        <f>_xlfn.XLOOKUP(Table9[[#This Row],[admin_name]],$G$2:$G$33,$H$2:$H$33, Table9[[#This Row],[admin_name]])</f>
        <v>Schleswig-Holstein</v>
      </c>
    </row>
    <row r="588" spans="1:11" x14ac:dyDescent="0.55000000000000004">
      <c r="A588" t="s">
        <v>805</v>
      </c>
      <c r="B588" t="s">
        <v>756</v>
      </c>
      <c r="C588" t="s">
        <v>759</v>
      </c>
      <c r="K588" t="str">
        <f>_xlfn.XLOOKUP(Table9[[#This Row],[admin_name]],$G$2:$G$33,$H$2:$H$33, Table9[[#This Row],[admin_name]])</f>
        <v>Schleswig-Holstein</v>
      </c>
    </row>
    <row r="589" spans="1:11" x14ac:dyDescent="0.55000000000000004">
      <c r="A589" t="s">
        <v>131</v>
      </c>
      <c r="B589" t="s">
        <v>960</v>
      </c>
      <c r="C589" t="s">
        <v>759</v>
      </c>
      <c r="K589" t="str">
        <f>_xlfn.XLOOKUP(Table9[[#This Row],[admin_name]],$G$2:$G$33,$H$2:$H$33, Table9[[#This Row],[admin_name]])</f>
        <v>Thüringen</v>
      </c>
    </row>
    <row r="590" spans="1:11" x14ac:dyDescent="0.55000000000000004">
      <c r="A590" t="s">
        <v>296</v>
      </c>
      <c r="B590" t="s">
        <v>960</v>
      </c>
      <c r="C590" t="s">
        <v>759</v>
      </c>
      <c r="K590" t="str">
        <f>_xlfn.XLOOKUP(Table9[[#This Row],[admin_name]],$G$2:$G$33,$H$2:$H$33, Table9[[#This Row],[admin_name]])</f>
        <v>Thüringen</v>
      </c>
    </row>
    <row r="591" spans="1:11" x14ac:dyDescent="0.55000000000000004">
      <c r="A591" t="s">
        <v>201</v>
      </c>
      <c r="B591" t="s">
        <v>960</v>
      </c>
      <c r="C591" t="s">
        <v>759</v>
      </c>
      <c r="K591" t="str">
        <f>_xlfn.XLOOKUP(Table9[[#This Row],[admin_name]],$G$2:$G$33,$H$2:$H$33, Table9[[#This Row],[admin_name]])</f>
        <v>Thüringen</v>
      </c>
    </row>
    <row r="592" spans="1:11" x14ac:dyDescent="0.55000000000000004">
      <c r="A592" t="s">
        <v>358</v>
      </c>
      <c r="B592" t="s">
        <v>960</v>
      </c>
      <c r="C592" t="s">
        <v>759</v>
      </c>
      <c r="K592" t="str">
        <f>_xlfn.XLOOKUP(Table9[[#This Row],[admin_name]],$G$2:$G$33,$H$2:$H$33, Table9[[#This Row],[admin_name]])</f>
        <v>Thüringen</v>
      </c>
    </row>
    <row r="593" spans="1:11" x14ac:dyDescent="0.55000000000000004">
      <c r="A593" t="s">
        <v>79</v>
      </c>
      <c r="B593" t="s">
        <v>960</v>
      </c>
      <c r="C593" t="s">
        <v>759</v>
      </c>
      <c r="K593" t="str">
        <f>_xlfn.XLOOKUP(Table9[[#This Row],[admin_name]],$G$2:$G$33,$H$2:$H$33, Table9[[#This Row],[admin_name]])</f>
        <v>Thüringen</v>
      </c>
    </row>
    <row r="594" spans="1:11" x14ac:dyDescent="0.55000000000000004">
      <c r="A594" t="s">
        <v>63</v>
      </c>
      <c r="B594" t="s">
        <v>960</v>
      </c>
      <c r="C594" t="s">
        <v>759</v>
      </c>
      <c r="K594" t="str">
        <f>_xlfn.XLOOKUP(Table9[[#This Row],[admin_name]],$G$2:$G$33,$H$2:$H$33, Table9[[#This Row],[admin_name]])</f>
        <v>Thüringen</v>
      </c>
    </row>
    <row r="595" spans="1:11" x14ac:dyDescent="0.55000000000000004">
      <c r="A595" t="s">
        <v>378</v>
      </c>
      <c r="B595" t="s">
        <v>960</v>
      </c>
      <c r="C595" t="s">
        <v>759</v>
      </c>
      <c r="K595" t="str">
        <f>_xlfn.XLOOKUP(Table9[[#This Row],[admin_name]],$G$2:$G$33,$H$2:$H$33, Table9[[#This Row],[admin_name]])</f>
        <v>Thüringen</v>
      </c>
    </row>
    <row r="596" spans="1:11" x14ac:dyDescent="0.55000000000000004">
      <c r="A596" t="s">
        <v>390</v>
      </c>
      <c r="B596" t="s">
        <v>960</v>
      </c>
      <c r="C596" t="s">
        <v>759</v>
      </c>
      <c r="K596" t="str">
        <f>_xlfn.XLOOKUP(Table9[[#This Row],[admin_name]],$G$2:$G$33,$H$2:$H$33, Table9[[#This Row],[admin_name]])</f>
        <v>Thüringen</v>
      </c>
    </row>
    <row r="597" spans="1:11" x14ac:dyDescent="0.55000000000000004">
      <c r="A597" t="s">
        <v>397</v>
      </c>
      <c r="B597" t="s">
        <v>960</v>
      </c>
      <c r="C597" t="s">
        <v>759</v>
      </c>
      <c r="K597" t="str">
        <f>_xlfn.XLOOKUP(Table9[[#This Row],[admin_name]],$G$2:$G$33,$H$2:$H$33, Table9[[#This Row],[admin_name]])</f>
        <v>Thüringen</v>
      </c>
    </row>
    <row r="598" spans="1:11" x14ac:dyDescent="0.55000000000000004">
      <c r="A598" t="s">
        <v>175</v>
      </c>
      <c r="B598" t="s">
        <v>960</v>
      </c>
      <c r="C598" t="s">
        <v>759</v>
      </c>
      <c r="K598" t="str">
        <f>_xlfn.XLOOKUP(Table9[[#This Row],[admin_name]],$G$2:$G$33,$H$2:$H$33, Table9[[#This Row],[admin_name]])</f>
        <v>Thüringen</v>
      </c>
    </row>
    <row r="599" spans="1:11" x14ac:dyDescent="0.55000000000000004">
      <c r="A599" t="s">
        <v>312</v>
      </c>
      <c r="B599" t="s">
        <v>960</v>
      </c>
      <c r="C599" t="s">
        <v>759</v>
      </c>
      <c r="K599" t="str">
        <f>_xlfn.XLOOKUP(Table9[[#This Row],[admin_name]],$G$2:$G$33,$H$2:$H$33, Table9[[#This Row],[admin_name]])</f>
        <v>Thüringen</v>
      </c>
    </row>
    <row r="600" spans="1:11" x14ac:dyDescent="0.55000000000000004">
      <c r="A600" t="s">
        <v>120</v>
      </c>
      <c r="B600" t="s">
        <v>960</v>
      </c>
      <c r="C600" t="s">
        <v>759</v>
      </c>
      <c r="K600" t="str">
        <f>_xlfn.XLOOKUP(Table9[[#This Row],[admin_name]],$G$2:$G$33,$H$2:$H$33, Table9[[#This Row],[admin_name]])</f>
        <v>Thüringen</v>
      </c>
    </row>
    <row r="601" spans="1:11" x14ac:dyDescent="0.55000000000000004">
      <c r="A601" t="s">
        <v>529</v>
      </c>
      <c r="B601" t="s">
        <v>960</v>
      </c>
      <c r="C601" t="s">
        <v>759</v>
      </c>
      <c r="K601" t="str">
        <f>_xlfn.XLOOKUP(Table9[[#This Row],[admin_name]],$G$2:$G$33,$H$2:$H$33, Table9[[#This Row],[admin_name]])</f>
        <v>Thüringen</v>
      </c>
    </row>
    <row r="602" spans="1:11" x14ac:dyDescent="0.55000000000000004">
      <c r="A602" t="s">
        <v>532</v>
      </c>
      <c r="B602" t="s">
        <v>960</v>
      </c>
      <c r="C602" t="s">
        <v>759</v>
      </c>
      <c r="K602" t="str">
        <f>_xlfn.XLOOKUP(Table9[[#This Row],[admin_name]],$G$2:$G$33,$H$2:$H$33, Table9[[#This Row],[admin_name]])</f>
        <v>Thüringen</v>
      </c>
    </row>
    <row r="603" spans="1:11" x14ac:dyDescent="0.55000000000000004">
      <c r="A603" t="s">
        <v>258</v>
      </c>
      <c r="B603" t="s">
        <v>960</v>
      </c>
      <c r="C603" t="s">
        <v>759</v>
      </c>
      <c r="K603" t="str">
        <f>_xlfn.XLOOKUP(Table9[[#This Row],[admin_name]],$G$2:$G$33,$H$2:$H$33, Table9[[#This Row],[admin_name]])</f>
        <v>Thüringen</v>
      </c>
    </row>
    <row r="604" spans="1:11" x14ac:dyDescent="0.55000000000000004">
      <c r="A604" t="s">
        <v>552</v>
      </c>
      <c r="B604" t="s">
        <v>960</v>
      </c>
      <c r="C604" t="s">
        <v>759</v>
      </c>
      <c r="K604" t="str">
        <f>_xlfn.XLOOKUP(Table9[[#This Row],[admin_name]],$G$2:$G$33,$H$2:$H$33, Table9[[#This Row],[admin_name]])</f>
        <v>Thüringen</v>
      </c>
    </row>
    <row r="605" spans="1:11" x14ac:dyDescent="0.55000000000000004">
      <c r="A605" t="s">
        <v>340</v>
      </c>
      <c r="B605" t="s">
        <v>960</v>
      </c>
      <c r="C605" t="s">
        <v>759</v>
      </c>
      <c r="K605" t="str">
        <f>_xlfn.XLOOKUP(Table9[[#This Row],[admin_name]],$G$2:$G$33,$H$2:$H$33, Table9[[#This Row],[admin_name]])</f>
        <v>Thüringen</v>
      </c>
    </row>
    <row r="606" spans="1:11" x14ac:dyDescent="0.55000000000000004">
      <c r="A606" t="s">
        <v>169</v>
      </c>
      <c r="B606" t="s">
        <v>960</v>
      </c>
      <c r="C606" t="s">
        <v>759</v>
      </c>
      <c r="K606" t="str">
        <f>_xlfn.XLOOKUP(Table9[[#This Row],[admin_name]],$G$2:$G$33,$H$2:$H$33, Table9[[#This Row],[admin_name]])</f>
        <v>Thüringen</v>
      </c>
    </row>
    <row r="607" spans="1:11" x14ac:dyDescent="0.55000000000000004">
      <c r="A607" t="s">
        <v>183</v>
      </c>
      <c r="B607" t="s">
        <v>960</v>
      </c>
      <c r="C607" t="s">
        <v>759</v>
      </c>
      <c r="K607" t="str">
        <f>_xlfn.XLOOKUP(Table9[[#This Row],[admin_name]],$G$2:$G$33,$H$2:$H$33, Table9[[#This Row],[admin_name]])</f>
        <v>Thüringen</v>
      </c>
    </row>
    <row r="608" spans="1:11" x14ac:dyDescent="0.55000000000000004">
      <c r="A608" t="s">
        <v>381</v>
      </c>
      <c r="B608" t="s">
        <v>960</v>
      </c>
      <c r="C608" t="s">
        <v>759</v>
      </c>
      <c r="K608" t="str">
        <f>_xlfn.XLOOKUP(Table9[[#This Row],[admin_name]],$G$2:$G$33,$H$2:$H$33, Table9[[#This Row],[admin_name]])</f>
        <v>Thüringen</v>
      </c>
    </row>
    <row r="609" spans="1:11" x14ac:dyDescent="0.55000000000000004">
      <c r="A609" t="s">
        <v>204</v>
      </c>
      <c r="B609" t="s">
        <v>960</v>
      </c>
      <c r="C609" t="s">
        <v>759</v>
      </c>
      <c r="K609" t="str">
        <f>_xlfn.XLOOKUP(Table9[[#This Row],[admin_name]],$G$2:$G$33,$H$2:$H$33, Table9[[#This Row],[admin_name]])</f>
        <v>Thüringen</v>
      </c>
    </row>
    <row r="610" spans="1:11" x14ac:dyDescent="0.55000000000000004">
      <c r="A610" t="s">
        <v>770</v>
      </c>
      <c r="B610" t="s">
        <v>960</v>
      </c>
      <c r="C610" t="s">
        <v>759</v>
      </c>
      <c r="K610" t="str">
        <f>_xlfn.XLOOKUP(Table9[[#This Row],[admin_name]],$G$2:$G$33,$H$2:$H$33, Table9[[#This Row],[admin_name]])</f>
        <v>Thüringen</v>
      </c>
    </row>
    <row r="611" spans="1:11" x14ac:dyDescent="0.55000000000000004">
      <c r="A611" t="s">
        <v>794</v>
      </c>
      <c r="B611" t="s">
        <v>960</v>
      </c>
      <c r="C611" t="s">
        <v>759</v>
      </c>
      <c r="K611" t="str">
        <f>_xlfn.XLOOKUP(Table9[[#This Row],[admin_name]],$G$2:$G$33,$H$2:$H$33, Table9[[#This Row],[admin_name]])</f>
        <v>Thüringen</v>
      </c>
    </row>
    <row r="612" spans="1:11" x14ac:dyDescent="0.55000000000000004">
      <c r="A612" t="s">
        <v>798</v>
      </c>
      <c r="B612" t="s">
        <v>960</v>
      </c>
      <c r="C612" t="s">
        <v>759</v>
      </c>
      <c r="K612" t="str">
        <f>_xlfn.XLOOKUP(Table9[[#This Row],[admin_name]],$G$2:$G$33,$H$2:$H$33, Table9[[#This Row],[admin_name]])</f>
        <v>Thüringen</v>
      </c>
    </row>
    <row r="613" spans="1:11" x14ac:dyDescent="0.55000000000000004">
      <c r="A613" t="s">
        <v>806</v>
      </c>
      <c r="B613" t="s">
        <v>960</v>
      </c>
      <c r="C613" t="s">
        <v>759</v>
      </c>
      <c r="K613" t="str">
        <f>_xlfn.XLOOKUP(Table9[[#This Row],[admin_name]],$G$2:$G$33,$H$2:$H$33, Table9[[#This Row],[admin_name]])</f>
        <v>Thüringen</v>
      </c>
    </row>
    <row r="614" spans="1:11" x14ac:dyDescent="0.55000000000000004">
      <c r="A614" t="s">
        <v>702</v>
      </c>
      <c r="B614" t="s">
        <v>961</v>
      </c>
      <c r="C614" t="s">
        <v>939</v>
      </c>
      <c r="K614" t="str">
        <f>_xlfn.XLOOKUP(Table9[[#This Row],[admin_name]],$G$2:$G$33,$H$2:$H$33, Table9[[#This Row],[admin_name]])</f>
        <v>Masovian</v>
      </c>
    </row>
    <row r="615" spans="1:11" x14ac:dyDescent="0.55000000000000004">
      <c r="A615" t="s">
        <v>563</v>
      </c>
      <c r="B615" t="s">
        <v>941</v>
      </c>
      <c r="C615" t="s">
        <v>939</v>
      </c>
      <c r="K615" t="str">
        <f>_xlfn.XLOOKUP(Table9[[#This Row],[admin_name]],$G$2:$G$33,$H$2:$H$33, Table9[[#This Row],[admin_name]])</f>
        <v>Lesser Poland</v>
      </c>
    </row>
    <row r="616" spans="1:11" x14ac:dyDescent="0.55000000000000004">
      <c r="A616" t="s">
        <v>643</v>
      </c>
      <c r="B616" t="s">
        <v>942</v>
      </c>
      <c r="C616" t="s">
        <v>939</v>
      </c>
      <c r="K616" t="str">
        <f>_xlfn.XLOOKUP(Table9[[#This Row],[admin_name]],$G$2:$G$33,$H$2:$H$33, Table9[[#This Row],[admin_name]])</f>
        <v>Lower Silesian</v>
      </c>
    </row>
    <row r="617" spans="1:11" x14ac:dyDescent="0.55000000000000004">
      <c r="A617" t="s">
        <v>579</v>
      </c>
      <c r="B617" t="s">
        <v>579</v>
      </c>
      <c r="C617" t="s">
        <v>939</v>
      </c>
      <c r="K617" t="str">
        <f>_xlfn.XLOOKUP(Table9[[#This Row],[admin_name]],$G$2:$G$33,$H$2:$H$33, Table9[[#This Row],[admin_name]])</f>
        <v>Łódź</v>
      </c>
    </row>
    <row r="618" spans="1:11" x14ac:dyDescent="0.55000000000000004">
      <c r="A618" t="s">
        <v>593</v>
      </c>
      <c r="B618" t="s">
        <v>943</v>
      </c>
      <c r="C618" t="s">
        <v>939</v>
      </c>
      <c r="K618" t="str">
        <f>_xlfn.XLOOKUP(Table9[[#This Row],[admin_name]],$G$2:$G$33,$H$2:$H$33, Table9[[#This Row],[admin_name]])</f>
        <v>Greater Poland</v>
      </c>
    </row>
    <row r="619" spans="1:11" x14ac:dyDescent="0.55000000000000004">
      <c r="A619" t="s">
        <v>567</v>
      </c>
      <c r="B619" t="s">
        <v>944</v>
      </c>
      <c r="C619" t="s">
        <v>939</v>
      </c>
      <c r="K619" t="str">
        <f>_xlfn.XLOOKUP(Table9[[#This Row],[admin_name]],$G$2:$G$33,$H$2:$H$33, Table9[[#This Row],[admin_name]])</f>
        <v>Pomeranian</v>
      </c>
    </row>
    <row r="620" spans="1:11" x14ac:dyDescent="0.55000000000000004">
      <c r="A620" t="s">
        <v>713</v>
      </c>
      <c r="B620" t="s">
        <v>945</v>
      </c>
      <c r="C620" t="s">
        <v>939</v>
      </c>
      <c r="K620" t="str">
        <f>_xlfn.XLOOKUP(Table9[[#This Row],[admin_name]],$G$2:$G$33,$H$2:$H$33, Table9[[#This Row],[admin_name]])</f>
        <v>West Pomeranian</v>
      </c>
    </row>
    <row r="621" spans="1:11" x14ac:dyDescent="0.55000000000000004">
      <c r="A621" t="s">
        <v>669</v>
      </c>
      <c r="B621" t="s">
        <v>946</v>
      </c>
      <c r="C621" t="s">
        <v>939</v>
      </c>
      <c r="K621" t="str">
        <f>_xlfn.XLOOKUP(Table9[[#This Row],[admin_name]],$G$2:$G$33,$H$2:$H$33, Table9[[#This Row],[admin_name]])</f>
        <v>Kuyavian-Pomeranian</v>
      </c>
    </row>
    <row r="622" spans="1:11" x14ac:dyDescent="0.55000000000000004">
      <c r="A622" t="s">
        <v>554</v>
      </c>
      <c r="B622" t="s">
        <v>554</v>
      </c>
      <c r="C622" t="s">
        <v>939</v>
      </c>
      <c r="K622" t="str">
        <f>_xlfn.XLOOKUP(Table9[[#This Row],[admin_name]],$G$2:$G$33,$H$2:$H$33, Table9[[#This Row],[admin_name]])</f>
        <v>Lublin</v>
      </c>
    </row>
    <row r="623" spans="1:11" x14ac:dyDescent="0.55000000000000004">
      <c r="A623" t="s">
        <v>620</v>
      </c>
      <c r="B623" t="s">
        <v>962</v>
      </c>
      <c r="C623" t="s">
        <v>939</v>
      </c>
      <c r="K623" t="str">
        <f>_xlfn.XLOOKUP(Table9[[#This Row],[admin_name]],$G$2:$G$33,$H$2:$H$33, Table9[[#This Row],[admin_name]])</f>
        <v>Podlachian</v>
      </c>
    </row>
    <row r="624" spans="1:11" x14ac:dyDescent="0.55000000000000004">
      <c r="A624" t="s">
        <v>740</v>
      </c>
      <c r="B624" t="s">
        <v>948</v>
      </c>
      <c r="C624" t="s">
        <v>939</v>
      </c>
      <c r="K624" t="str">
        <f>_xlfn.XLOOKUP(Table9[[#This Row],[admin_name]],$G$2:$G$33,$H$2:$H$33, Table9[[#This Row],[admin_name]])</f>
        <v>Silesian</v>
      </c>
    </row>
    <row r="625" spans="1:11" x14ac:dyDescent="0.55000000000000004">
      <c r="A625" t="s">
        <v>684</v>
      </c>
      <c r="B625" t="s">
        <v>944</v>
      </c>
      <c r="C625" t="s">
        <v>939</v>
      </c>
      <c r="K625" t="str">
        <f>_xlfn.XLOOKUP(Table9[[#This Row],[admin_name]],$G$2:$G$33,$H$2:$H$33, Table9[[#This Row],[admin_name]])</f>
        <v>Pomeranian</v>
      </c>
    </row>
    <row r="626" spans="1:11" x14ac:dyDescent="0.55000000000000004">
      <c r="A626" t="s">
        <v>688</v>
      </c>
      <c r="B626" t="s">
        <v>949</v>
      </c>
      <c r="C626" t="s">
        <v>939</v>
      </c>
      <c r="K626" t="str">
        <f>_xlfn.XLOOKUP(Table9[[#This Row],[admin_name]],$G$2:$G$33,$H$2:$H$33, Table9[[#This Row],[admin_name]])</f>
        <v>Lubusz</v>
      </c>
    </row>
    <row r="627" spans="1:11" x14ac:dyDescent="0.55000000000000004">
      <c r="A627" t="s">
        <v>590</v>
      </c>
      <c r="B627" t="s">
        <v>948</v>
      </c>
      <c r="C627" t="s">
        <v>939</v>
      </c>
      <c r="K627" t="str">
        <f>_xlfn.XLOOKUP(Table9[[#This Row],[admin_name]],$G$2:$G$33,$H$2:$H$33, Table9[[#This Row],[admin_name]])</f>
        <v>Silesian</v>
      </c>
    </row>
    <row r="628" spans="1:11" x14ac:dyDescent="0.55000000000000004">
      <c r="A628" t="s">
        <v>566</v>
      </c>
      <c r="B628" t="s">
        <v>961</v>
      </c>
      <c r="C628" t="s">
        <v>939</v>
      </c>
      <c r="K628" t="str">
        <f>_xlfn.XLOOKUP(Table9[[#This Row],[admin_name]],$G$2:$G$33,$H$2:$H$33, Table9[[#This Row],[admin_name]])</f>
        <v>Masovian</v>
      </c>
    </row>
    <row r="629" spans="1:11" x14ac:dyDescent="0.55000000000000004">
      <c r="A629" t="s">
        <v>687</v>
      </c>
      <c r="B629" t="s">
        <v>946</v>
      </c>
      <c r="C629" t="s">
        <v>939</v>
      </c>
      <c r="K629" t="str">
        <f>_xlfn.XLOOKUP(Table9[[#This Row],[admin_name]],$G$2:$G$33,$H$2:$H$33, Table9[[#This Row],[admin_name]])</f>
        <v>Kuyavian-Pomeranian</v>
      </c>
    </row>
    <row r="630" spans="1:11" x14ac:dyDescent="0.55000000000000004">
      <c r="A630" t="s">
        <v>580</v>
      </c>
      <c r="B630" t="s">
        <v>951</v>
      </c>
      <c r="C630" t="s">
        <v>939</v>
      </c>
      <c r="K630" t="str">
        <f>_xlfn.XLOOKUP(Table9[[#This Row],[admin_name]],$G$2:$G$33,$H$2:$H$33, Table9[[#This Row],[admin_name]])</f>
        <v>Subcarpathian</v>
      </c>
    </row>
    <row r="631" spans="1:11" x14ac:dyDescent="0.55000000000000004">
      <c r="A631" t="s">
        <v>662</v>
      </c>
      <c r="B631" t="s">
        <v>948</v>
      </c>
      <c r="C631" t="s">
        <v>939</v>
      </c>
      <c r="K631" t="str">
        <f>_xlfn.XLOOKUP(Table9[[#This Row],[admin_name]],$G$2:$G$33,$H$2:$H$33, Table9[[#This Row],[admin_name]])</f>
        <v>Silesian</v>
      </c>
    </row>
    <row r="632" spans="1:11" x14ac:dyDescent="0.55000000000000004">
      <c r="A632" t="s">
        <v>655</v>
      </c>
      <c r="B632" t="s">
        <v>841</v>
      </c>
      <c r="C632" t="s">
        <v>939</v>
      </c>
      <c r="K632" t="str">
        <f>_xlfn.XLOOKUP(Table9[[#This Row],[admin_name]],$G$2:$G$33,$H$2:$H$33, Table9[[#This Row],[admin_name]])</f>
        <v>Świętokrzyskie</v>
      </c>
    </row>
    <row r="633" spans="1:11" x14ac:dyDescent="0.55000000000000004">
      <c r="A633" t="s">
        <v>630</v>
      </c>
      <c r="B633" t="s">
        <v>948</v>
      </c>
      <c r="C633" t="s">
        <v>939</v>
      </c>
      <c r="K633" t="str">
        <f>_xlfn.XLOOKUP(Table9[[#This Row],[admin_name]],$G$2:$G$33,$H$2:$H$33, Table9[[#This Row],[admin_name]])</f>
        <v>Silesian</v>
      </c>
    </row>
    <row r="634" spans="1:11" x14ac:dyDescent="0.55000000000000004">
      <c r="A634" t="s">
        <v>558</v>
      </c>
      <c r="B634" t="s">
        <v>950</v>
      </c>
      <c r="C634" t="s">
        <v>939</v>
      </c>
      <c r="K634" t="str">
        <f>_xlfn.XLOOKUP(Table9[[#This Row],[admin_name]],$G$2:$G$33,$H$2:$H$33, Table9[[#This Row],[admin_name]])</f>
        <v>Warmian-Masurian</v>
      </c>
    </row>
    <row r="635" spans="1:11" x14ac:dyDescent="0.55000000000000004">
      <c r="A635" t="s">
        <v>587</v>
      </c>
      <c r="B635" t="s">
        <v>948</v>
      </c>
      <c r="C635" t="s">
        <v>939</v>
      </c>
      <c r="K635" t="str">
        <f>_xlfn.XLOOKUP(Table9[[#This Row],[admin_name]],$G$2:$G$33,$H$2:$H$33, Table9[[#This Row],[admin_name]])</f>
        <v>Silesian</v>
      </c>
    </row>
    <row r="636" spans="1:11" x14ac:dyDescent="0.55000000000000004">
      <c r="A636" t="s">
        <v>710</v>
      </c>
      <c r="B636" t="s">
        <v>948</v>
      </c>
      <c r="C636" t="s">
        <v>939</v>
      </c>
      <c r="K636" t="str">
        <f>_xlfn.XLOOKUP(Table9[[#This Row],[admin_name]],$G$2:$G$33,$H$2:$H$33, Table9[[#This Row],[admin_name]])</f>
        <v>Silesian</v>
      </c>
    </row>
    <row r="637" spans="1:11" x14ac:dyDescent="0.55000000000000004">
      <c r="A637" t="s">
        <v>714</v>
      </c>
      <c r="B637" t="s">
        <v>948</v>
      </c>
      <c r="C637" t="s">
        <v>939</v>
      </c>
      <c r="K637" t="str">
        <f>_xlfn.XLOOKUP(Table9[[#This Row],[admin_name]],$G$2:$G$33,$H$2:$H$33, Table9[[#This Row],[admin_name]])</f>
        <v>Silesian</v>
      </c>
    </row>
    <row r="638" spans="1:11" x14ac:dyDescent="0.55000000000000004">
      <c r="A638" t="s">
        <v>672</v>
      </c>
      <c r="B638" t="s">
        <v>948</v>
      </c>
      <c r="C638" t="s">
        <v>939</v>
      </c>
      <c r="K638" t="str">
        <f>_xlfn.XLOOKUP(Table9[[#This Row],[admin_name]],$G$2:$G$33,$H$2:$H$33, Table9[[#This Row],[admin_name]])</f>
        <v>Silesian</v>
      </c>
    </row>
    <row r="639" spans="1:11" x14ac:dyDescent="0.55000000000000004">
      <c r="A639" t="s">
        <v>556</v>
      </c>
      <c r="B639" t="s">
        <v>948</v>
      </c>
      <c r="C639" t="s">
        <v>939</v>
      </c>
      <c r="K639" t="str">
        <f>_xlfn.XLOOKUP(Table9[[#This Row],[admin_name]],$G$2:$G$33,$H$2:$H$33, Table9[[#This Row],[admin_name]])</f>
        <v>Silesian</v>
      </c>
    </row>
    <row r="640" spans="1:11" x14ac:dyDescent="0.55000000000000004">
      <c r="A640" t="s">
        <v>626</v>
      </c>
      <c r="B640" t="s">
        <v>626</v>
      </c>
      <c r="C640" t="s">
        <v>939</v>
      </c>
      <c r="K640" t="str">
        <f>_xlfn.XLOOKUP(Table9[[#This Row],[admin_name]],$G$2:$G$33,$H$2:$H$33, Table9[[#This Row],[admin_name]])</f>
        <v>Opole</v>
      </c>
    </row>
    <row r="641" spans="1:11" x14ac:dyDescent="0.55000000000000004">
      <c r="A641" t="s">
        <v>738</v>
      </c>
      <c r="B641" t="s">
        <v>948</v>
      </c>
      <c r="C641" t="s">
        <v>939</v>
      </c>
      <c r="K641" t="str">
        <f>_xlfn.XLOOKUP(Table9[[#This Row],[admin_name]],$G$2:$G$33,$H$2:$H$33, Table9[[#This Row],[admin_name]])</f>
        <v>Silesian</v>
      </c>
    </row>
    <row r="642" spans="1:11" x14ac:dyDescent="0.55000000000000004">
      <c r="A642" t="s">
        <v>604</v>
      </c>
      <c r="B642" t="s">
        <v>949</v>
      </c>
      <c r="C642" t="s">
        <v>939</v>
      </c>
      <c r="K642" t="str">
        <f>_xlfn.XLOOKUP(Table9[[#This Row],[admin_name]],$G$2:$G$33,$H$2:$H$33, Table9[[#This Row],[admin_name]])</f>
        <v>Lubusz</v>
      </c>
    </row>
    <row r="643" spans="1:11" x14ac:dyDescent="0.55000000000000004">
      <c r="A643" t="s">
        <v>622</v>
      </c>
      <c r="B643" t="s">
        <v>948</v>
      </c>
      <c r="C643" t="s">
        <v>939</v>
      </c>
      <c r="K643" t="str">
        <f>_xlfn.XLOOKUP(Table9[[#This Row],[admin_name]],$G$2:$G$33,$H$2:$H$33, Table9[[#This Row],[admin_name]])</f>
        <v>Silesian</v>
      </c>
    </row>
    <row r="644" spans="1:11" x14ac:dyDescent="0.55000000000000004">
      <c r="A644" t="s">
        <v>594</v>
      </c>
      <c r="B644" t="s">
        <v>950</v>
      </c>
      <c r="C644" t="s">
        <v>939</v>
      </c>
      <c r="K644" t="str">
        <f>_xlfn.XLOOKUP(Table9[[#This Row],[admin_name]],$G$2:$G$33,$H$2:$H$33, Table9[[#This Row],[admin_name]])</f>
        <v>Warmian-Masurian</v>
      </c>
    </row>
    <row r="645" spans="1:11" x14ac:dyDescent="0.55000000000000004">
      <c r="A645" t="s">
        <v>718</v>
      </c>
      <c r="B645" t="s">
        <v>961</v>
      </c>
      <c r="C645" t="s">
        <v>939</v>
      </c>
      <c r="K645" t="str">
        <f>_xlfn.XLOOKUP(Table9[[#This Row],[admin_name]],$G$2:$G$33,$H$2:$H$33, Table9[[#This Row],[admin_name]])</f>
        <v>Masovian</v>
      </c>
    </row>
    <row r="646" spans="1:11" x14ac:dyDescent="0.55000000000000004">
      <c r="A646" t="s">
        <v>719</v>
      </c>
      <c r="B646" t="s">
        <v>941</v>
      </c>
      <c r="C646" t="s">
        <v>939</v>
      </c>
      <c r="K646" t="str">
        <f>_xlfn.XLOOKUP(Table9[[#This Row],[admin_name]],$G$2:$G$33,$H$2:$H$33, Table9[[#This Row],[admin_name]])</f>
        <v>Lesser Poland</v>
      </c>
    </row>
    <row r="647" spans="1:11" x14ac:dyDescent="0.55000000000000004">
      <c r="A647" t="s">
        <v>695</v>
      </c>
      <c r="B647" t="s">
        <v>945</v>
      </c>
      <c r="C647" t="s">
        <v>939</v>
      </c>
      <c r="K647" t="str">
        <f>_xlfn.XLOOKUP(Table9[[#This Row],[admin_name]],$G$2:$G$33,$H$2:$H$33, Table9[[#This Row],[admin_name]])</f>
        <v>West Pomeranian</v>
      </c>
    </row>
    <row r="648" spans="1:11" x14ac:dyDescent="0.55000000000000004">
      <c r="A648" t="s">
        <v>649</v>
      </c>
      <c r="B648" t="s">
        <v>946</v>
      </c>
      <c r="C648" t="s">
        <v>939</v>
      </c>
      <c r="K648" t="str">
        <f>_xlfn.XLOOKUP(Table9[[#This Row],[admin_name]],$G$2:$G$33,$H$2:$H$33, Table9[[#This Row],[admin_name]])</f>
        <v>Kuyavian-Pomeranian</v>
      </c>
    </row>
    <row r="649" spans="1:11" x14ac:dyDescent="0.55000000000000004">
      <c r="A649" t="s">
        <v>715</v>
      </c>
      <c r="B649" t="s">
        <v>942</v>
      </c>
      <c r="C649" t="s">
        <v>939</v>
      </c>
      <c r="K649" t="str">
        <f>_xlfn.XLOOKUP(Table9[[#This Row],[admin_name]],$G$2:$G$33,$H$2:$H$33, Table9[[#This Row],[admin_name]])</f>
        <v>Lower Silesian</v>
      </c>
    </row>
    <row r="650" spans="1:11" x14ac:dyDescent="0.55000000000000004">
      <c r="A650" t="s">
        <v>598</v>
      </c>
      <c r="B650" t="s">
        <v>948</v>
      </c>
      <c r="C650" t="s">
        <v>939</v>
      </c>
      <c r="K650" t="str">
        <f>_xlfn.XLOOKUP(Table9[[#This Row],[admin_name]],$G$2:$G$33,$H$2:$H$33, Table9[[#This Row],[admin_name]])</f>
        <v>Silesian</v>
      </c>
    </row>
    <row r="651" spans="1:11" x14ac:dyDescent="0.55000000000000004">
      <c r="A651" t="s">
        <v>717</v>
      </c>
      <c r="B651" t="s">
        <v>943</v>
      </c>
      <c r="C651" t="s">
        <v>939</v>
      </c>
      <c r="K651" t="str">
        <f>_xlfn.XLOOKUP(Table9[[#This Row],[admin_name]],$G$2:$G$33,$H$2:$H$33, Table9[[#This Row],[admin_name]])</f>
        <v>Greater Poland</v>
      </c>
    </row>
    <row r="652" spans="1:11" x14ac:dyDescent="0.55000000000000004">
      <c r="A652" t="s">
        <v>744</v>
      </c>
      <c r="B652" t="s">
        <v>942</v>
      </c>
      <c r="C652" t="s">
        <v>939</v>
      </c>
      <c r="K652" t="str">
        <f>_xlfn.XLOOKUP(Table9[[#This Row],[admin_name]],$G$2:$G$33,$H$2:$H$33, Table9[[#This Row],[admin_name]])</f>
        <v>Lower Silesian</v>
      </c>
    </row>
    <row r="653" spans="1:11" x14ac:dyDescent="0.55000000000000004">
      <c r="A653" t="s">
        <v>844</v>
      </c>
      <c r="B653" t="s">
        <v>941</v>
      </c>
      <c r="C653" t="s">
        <v>939</v>
      </c>
      <c r="K653" t="str">
        <f>_xlfn.XLOOKUP(Table9[[#This Row],[admin_name]],$G$2:$G$33,$H$2:$H$33, Table9[[#This Row],[admin_name]])</f>
        <v>Lesser Poland</v>
      </c>
    </row>
    <row r="654" spans="1:11" x14ac:dyDescent="0.55000000000000004">
      <c r="A654" t="s">
        <v>749</v>
      </c>
      <c r="B654" t="s">
        <v>948</v>
      </c>
      <c r="C654" t="s">
        <v>939</v>
      </c>
      <c r="K654" t="str">
        <f>_xlfn.XLOOKUP(Table9[[#This Row],[admin_name]],$G$2:$G$33,$H$2:$H$33, Table9[[#This Row],[admin_name]])</f>
        <v>Silesian</v>
      </c>
    </row>
    <row r="655" spans="1:11" x14ac:dyDescent="0.55000000000000004">
      <c r="A655" t="s">
        <v>845</v>
      </c>
      <c r="B655" t="s">
        <v>943</v>
      </c>
      <c r="C655" t="s">
        <v>939</v>
      </c>
      <c r="K655" t="str">
        <f>_xlfn.XLOOKUP(Table9[[#This Row],[admin_name]],$G$2:$G$33,$H$2:$H$33, Table9[[#This Row],[admin_name]])</f>
        <v>Greater Poland</v>
      </c>
    </row>
    <row r="656" spans="1:11" x14ac:dyDescent="0.55000000000000004">
      <c r="A656" t="s">
        <v>846</v>
      </c>
      <c r="B656" t="s">
        <v>942</v>
      </c>
      <c r="C656" t="s">
        <v>939</v>
      </c>
      <c r="K656" t="str">
        <f>_xlfn.XLOOKUP(Table9[[#This Row],[admin_name]],$G$2:$G$33,$H$2:$H$33, Table9[[#This Row],[admin_name]])</f>
        <v>Lower Silesian</v>
      </c>
    </row>
    <row r="657" spans="1:11" x14ac:dyDescent="0.55000000000000004">
      <c r="A657" t="s">
        <v>560</v>
      </c>
      <c r="B657" t="s">
        <v>946</v>
      </c>
      <c r="C657" t="s">
        <v>939</v>
      </c>
      <c r="K657" t="str">
        <f>_xlfn.XLOOKUP(Table9[[#This Row],[admin_name]],$G$2:$G$33,$H$2:$H$33, Table9[[#This Row],[admin_name]])</f>
        <v>Kuyavian-Pomeranian</v>
      </c>
    </row>
    <row r="658" spans="1:11" x14ac:dyDescent="0.55000000000000004">
      <c r="A658" t="s">
        <v>847</v>
      </c>
      <c r="B658" t="s">
        <v>945</v>
      </c>
      <c r="C658" t="s">
        <v>939</v>
      </c>
      <c r="K658" t="str">
        <f>_xlfn.XLOOKUP(Table9[[#This Row],[admin_name]],$G$2:$G$33,$H$2:$H$33, Table9[[#This Row],[admin_name]])</f>
        <v>West Pomeranian</v>
      </c>
    </row>
    <row r="659" spans="1:11" x14ac:dyDescent="0.55000000000000004">
      <c r="A659" t="s">
        <v>678</v>
      </c>
      <c r="B659" t="s">
        <v>943</v>
      </c>
      <c r="C659" t="s">
        <v>939</v>
      </c>
      <c r="K659" t="str">
        <f>_xlfn.XLOOKUP(Table9[[#This Row],[admin_name]],$G$2:$G$33,$H$2:$H$33, Table9[[#This Row],[admin_name]])</f>
        <v>Greater Poland</v>
      </c>
    </row>
    <row r="660" spans="1:11" x14ac:dyDescent="0.55000000000000004">
      <c r="A660" t="s">
        <v>709</v>
      </c>
      <c r="B660" t="s">
        <v>961</v>
      </c>
      <c r="C660" t="s">
        <v>939</v>
      </c>
      <c r="K660" t="str">
        <f>_xlfn.XLOOKUP(Table9[[#This Row],[admin_name]],$G$2:$G$33,$H$2:$H$33, Table9[[#This Row],[admin_name]])</f>
        <v>Masovian</v>
      </c>
    </row>
    <row r="661" spans="1:11" x14ac:dyDescent="0.55000000000000004">
      <c r="A661" t="s">
        <v>671</v>
      </c>
      <c r="B661" t="s">
        <v>841</v>
      </c>
      <c r="C661" t="s">
        <v>939</v>
      </c>
      <c r="K661" t="str">
        <f>_xlfn.XLOOKUP(Table9[[#This Row],[admin_name]],$G$2:$G$33,$H$2:$H$33, Table9[[#This Row],[admin_name]])</f>
        <v>Świętokrzyskie</v>
      </c>
    </row>
    <row r="662" spans="1:11" x14ac:dyDescent="0.55000000000000004">
      <c r="A662" t="s">
        <v>848</v>
      </c>
      <c r="B662" t="s">
        <v>948</v>
      </c>
      <c r="C662" t="s">
        <v>939</v>
      </c>
      <c r="K662" t="str">
        <f>_xlfn.XLOOKUP(Table9[[#This Row],[admin_name]],$G$2:$G$33,$H$2:$H$33, Table9[[#This Row],[admin_name]])</f>
        <v>Silesian</v>
      </c>
    </row>
    <row r="663" spans="1:11" x14ac:dyDescent="0.55000000000000004">
      <c r="A663" t="s">
        <v>849</v>
      </c>
      <c r="B663" t="s">
        <v>942</v>
      </c>
      <c r="C663" t="s">
        <v>939</v>
      </c>
      <c r="K663" t="str">
        <f>_xlfn.XLOOKUP(Table9[[#This Row],[admin_name]],$G$2:$G$33,$H$2:$H$33, Table9[[#This Row],[admin_name]])</f>
        <v>Lower Silesian</v>
      </c>
    </row>
    <row r="664" spans="1:11" x14ac:dyDescent="0.55000000000000004">
      <c r="A664" t="s">
        <v>722</v>
      </c>
      <c r="B664" t="s">
        <v>579</v>
      </c>
      <c r="C664" t="s">
        <v>939</v>
      </c>
      <c r="K664" t="str">
        <f>_xlfn.XLOOKUP(Table9[[#This Row],[admin_name]],$G$2:$G$33,$H$2:$H$33, Table9[[#This Row],[admin_name]])</f>
        <v>Łódź</v>
      </c>
    </row>
    <row r="665" spans="1:11" x14ac:dyDescent="0.55000000000000004">
      <c r="A665" t="s">
        <v>850</v>
      </c>
      <c r="B665" t="s">
        <v>943</v>
      </c>
      <c r="C665" t="s">
        <v>939</v>
      </c>
      <c r="K665" t="str">
        <f>_xlfn.XLOOKUP(Table9[[#This Row],[admin_name]],$G$2:$G$33,$H$2:$H$33, Table9[[#This Row],[admin_name]])</f>
        <v>Greater Poland</v>
      </c>
    </row>
    <row r="666" spans="1:11" x14ac:dyDescent="0.55000000000000004">
      <c r="A666" t="s">
        <v>635</v>
      </c>
      <c r="B666" t="s">
        <v>950</v>
      </c>
      <c r="C666" t="s">
        <v>939</v>
      </c>
      <c r="K666" t="str">
        <f>_xlfn.XLOOKUP(Table9[[#This Row],[admin_name]],$G$2:$G$33,$H$2:$H$33, Table9[[#This Row],[admin_name]])</f>
        <v>Warmian-Masurian</v>
      </c>
    </row>
    <row r="667" spans="1:11" x14ac:dyDescent="0.55000000000000004">
      <c r="A667" t="s">
        <v>851</v>
      </c>
      <c r="B667" t="s">
        <v>554</v>
      </c>
      <c r="C667" t="s">
        <v>939</v>
      </c>
      <c r="K667" t="str">
        <f>_xlfn.XLOOKUP(Table9[[#This Row],[admin_name]],$G$2:$G$33,$H$2:$H$33, Table9[[#This Row],[admin_name]])</f>
        <v>Lublin</v>
      </c>
    </row>
    <row r="668" spans="1:11" x14ac:dyDescent="0.55000000000000004">
      <c r="A668" t="s">
        <v>711</v>
      </c>
      <c r="B668" t="s">
        <v>554</v>
      </c>
      <c r="C668" t="s">
        <v>939</v>
      </c>
      <c r="K668" t="str">
        <f>_xlfn.XLOOKUP(Table9[[#This Row],[admin_name]],$G$2:$G$33,$H$2:$H$33, Table9[[#This Row],[admin_name]])</f>
        <v>Lublin</v>
      </c>
    </row>
    <row r="669" spans="1:11" x14ac:dyDescent="0.55000000000000004">
      <c r="A669" t="s">
        <v>852</v>
      </c>
      <c r="B669" t="s">
        <v>579</v>
      </c>
      <c r="C669" t="s">
        <v>939</v>
      </c>
      <c r="K669" t="str">
        <f>_xlfn.XLOOKUP(Table9[[#This Row],[admin_name]],$G$2:$G$33,$H$2:$H$33, Table9[[#This Row],[admin_name]])</f>
        <v>Łódź</v>
      </c>
    </row>
    <row r="670" spans="1:11" x14ac:dyDescent="0.55000000000000004">
      <c r="A670" t="s">
        <v>691</v>
      </c>
      <c r="B670" t="s">
        <v>951</v>
      </c>
      <c r="C670" t="s">
        <v>939</v>
      </c>
      <c r="K670" t="str">
        <f>_xlfn.XLOOKUP(Table9[[#This Row],[admin_name]],$G$2:$G$33,$H$2:$H$33, Table9[[#This Row],[admin_name]])</f>
        <v>Subcarpathian</v>
      </c>
    </row>
    <row r="671" spans="1:11" x14ac:dyDescent="0.55000000000000004">
      <c r="A671" t="s">
        <v>853</v>
      </c>
      <c r="B671" t="s">
        <v>944</v>
      </c>
      <c r="C671" t="s">
        <v>939</v>
      </c>
      <c r="K671" t="str">
        <f>_xlfn.XLOOKUP(Table9[[#This Row],[admin_name]],$G$2:$G$33,$H$2:$H$33, Table9[[#This Row],[admin_name]])</f>
        <v>Pomeranian</v>
      </c>
    </row>
    <row r="672" spans="1:11" x14ac:dyDescent="0.55000000000000004">
      <c r="A672" t="s">
        <v>854</v>
      </c>
      <c r="B672" t="s">
        <v>948</v>
      </c>
      <c r="C672" t="s">
        <v>939</v>
      </c>
      <c r="K672" t="str">
        <f>_xlfn.XLOOKUP(Table9[[#This Row],[admin_name]],$G$2:$G$33,$H$2:$H$33, Table9[[#This Row],[admin_name]])</f>
        <v>Silesian</v>
      </c>
    </row>
    <row r="673" spans="1:11" x14ac:dyDescent="0.55000000000000004">
      <c r="A673" t="s">
        <v>855</v>
      </c>
      <c r="B673" t="s">
        <v>579</v>
      </c>
      <c r="C673" t="s">
        <v>939</v>
      </c>
      <c r="K673" t="str">
        <f>_xlfn.XLOOKUP(Table9[[#This Row],[admin_name]],$G$2:$G$33,$H$2:$H$33, Table9[[#This Row],[admin_name]])</f>
        <v>Łódź</v>
      </c>
    </row>
    <row r="674" spans="1:11" x14ac:dyDescent="0.55000000000000004">
      <c r="A674" t="s">
        <v>577</v>
      </c>
      <c r="B674" t="s">
        <v>942</v>
      </c>
      <c r="C674" t="s">
        <v>939</v>
      </c>
      <c r="K674" t="str">
        <f>_xlfn.XLOOKUP(Table9[[#This Row],[admin_name]],$G$2:$G$33,$H$2:$H$33, Table9[[#This Row],[admin_name]])</f>
        <v>Lower Silesian</v>
      </c>
    </row>
    <row r="675" spans="1:11" x14ac:dyDescent="0.55000000000000004">
      <c r="A675" t="s">
        <v>591</v>
      </c>
      <c r="B675" t="s">
        <v>579</v>
      </c>
      <c r="C675" t="s">
        <v>939</v>
      </c>
      <c r="K675" t="str">
        <f>_xlfn.XLOOKUP(Table9[[#This Row],[admin_name]],$G$2:$G$33,$H$2:$H$33, Table9[[#This Row],[admin_name]])</f>
        <v>Łódź</v>
      </c>
    </row>
    <row r="676" spans="1:11" x14ac:dyDescent="0.55000000000000004">
      <c r="A676" t="s">
        <v>856</v>
      </c>
      <c r="B676" t="s">
        <v>961</v>
      </c>
      <c r="C676" t="s">
        <v>939</v>
      </c>
      <c r="K676" t="str">
        <f>_xlfn.XLOOKUP(Table9[[#This Row],[admin_name]],$G$2:$G$33,$H$2:$H$33, Table9[[#This Row],[admin_name]])</f>
        <v>Masovian</v>
      </c>
    </row>
    <row r="677" spans="1:11" x14ac:dyDescent="0.55000000000000004">
      <c r="A677" t="s">
        <v>857</v>
      </c>
      <c r="B677" t="s">
        <v>948</v>
      </c>
      <c r="C677" t="s">
        <v>939</v>
      </c>
      <c r="K677" t="str">
        <f>_xlfn.XLOOKUP(Table9[[#This Row],[admin_name]],$G$2:$G$33,$H$2:$H$33, Table9[[#This Row],[admin_name]])</f>
        <v>Silesian</v>
      </c>
    </row>
    <row r="678" spans="1:11" x14ac:dyDescent="0.55000000000000004">
      <c r="A678" t="s">
        <v>640</v>
      </c>
      <c r="B678" t="s">
        <v>944</v>
      </c>
      <c r="C678" t="s">
        <v>939</v>
      </c>
      <c r="K678" t="str">
        <f>_xlfn.XLOOKUP(Table9[[#This Row],[admin_name]],$G$2:$G$33,$H$2:$H$33, Table9[[#This Row],[admin_name]])</f>
        <v>Pomeranian</v>
      </c>
    </row>
    <row r="679" spans="1:11" x14ac:dyDescent="0.55000000000000004">
      <c r="A679" t="s">
        <v>658</v>
      </c>
      <c r="B679" t="s">
        <v>961</v>
      </c>
      <c r="C679" t="s">
        <v>939</v>
      </c>
      <c r="K679" t="str">
        <f>_xlfn.XLOOKUP(Table9[[#This Row],[admin_name]],$G$2:$G$33,$H$2:$H$33, Table9[[#This Row],[admin_name]])</f>
        <v>Masovian</v>
      </c>
    </row>
    <row r="680" spans="1:11" x14ac:dyDescent="0.55000000000000004">
      <c r="A680" t="s">
        <v>858</v>
      </c>
      <c r="B680" t="s">
        <v>944</v>
      </c>
      <c r="C680" t="s">
        <v>939</v>
      </c>
      <c r="K680" t="str">
        <f>_xlfn.XLOOKUP(Table9[[#This Row],[admin_name]],$G$2:$G$33,$H$2:$H$33, Table9[[#This Row],[admin_name]])</f>
        <v>Pomeranian</v>
      </c>
    </row>
    <row r="681" spans="1:11" x14ac:dyDescent="0.55000000000000004">
      <c r="A681" t="s">
        <v>859</v>
      </c>
      <c r="B681" t="s">
        <v>948</v>
      </c>
      <c r="C681" t="s">
        <v>939</v>
      </c>
      <c r="K681" t="str">
        <f>_xlfn.XLOOKUP(Table9[[#This Row],[admin_name]],$G$2:$G$33,$H$2:$H$33, Table9[[#This Row],[admin_name]])</f>
        <v>Silesian</v>
      </c>
    </row>
    <row r="682" spans="1:11" x14ac:dyDescent="0.55000000000000004">
      <c r="A682" t="s">
        <v>726</v>
      </c>
      <c r="B682" t="s">
        <v>944</v>
      </c>
      <c r="C682" t="s">
        <v>939</v>
      </c>
      <c r="K682" t="str">
        <f>_xlfn.XLOOKUP(Table9[[#This Row],[admin_name]],$G$2:$G$33,$H$2:$H$33, Table9[[#This Row],[admin_name]])</f>
        <v>Pomeranian</v>
      </c>
    </row>
    <row r="683" spans="1:11" x14ac:dyDescent="0.55000000000000004">
      <c r="A683" t="s">
        <v>860</v>
      </c>
      <c r="B683" t="s">
        <v>841</v>
      </c>
      <c r="C683" t="s">
        <v>939</v>
      </c>
      <c r="K683" t="str">
        <f>_xlfn.XLOOKUP(Table9[[#This Row],[admin_name]],$G$2:$G$33,$H$2:$H$33, Table9[[#This Row],[admin_name]])</f>
        <v>Świętokrzyskie</v>
      </c>
    </row>
    <row r="684" spans="1:11" x14ac:dyDescent="0.55000000000000004">
      <c r="A684" t="s">
        <v>667</v>
      </c>
      <c r="B684" t="s">
        <v>945</v>
      </c>
      <c r="C684" t="s">
        <v>939</v>
      </c>
      <c r="K684" t="str">
        <f>_xlfn.XLOOKUP(Table9[[#This Row],[admin_name]],$G$2:$G$33,$H$2:$H$33, Table9[[#This Row],[admin_name]])</f>
        <v>West Pomeranian</v>
      </c>
    </row>
    <row r="685" spans="1:11" x14ac:dyDescent="0.55000000000000004">
      <c r="A685" t="s">
        <v>861</v>
      </c>
      <c r="B685" t="s">
        <v>951</v>
      </c>
      <c r="C685" t="s">
        <v>939</v>
      </c>
      <c r="K685" t="str">
        <f>_xlfn.XLOOKUP(Table9[[#This Row],[admin_name]],$G$2:$G$33,$H$2:$H$33, Table9[[#This Row],[admin_name]])</f>
        <v>Subcarpathian</v>
      </c>
    </row>
    <row r="686" spans="1:11" x14ac:dyDescent="0.55000000000000004">
      <c r="A686" t="s">
        <v>862</v>
      </c>
      <c r="B686" t="s">
        <v>961</v>
      </c>
      <c r="C686" t="s">
        <v>939</v>
      </c>
      <c r="K686" t="str">
        <f>_xlfn.XLOOKUP(Table9[[#This Row],[admin_name]],$G$2:$G$33,$H$2:$H$33, Table9[[#This Row],[admin_name]])</f>
        <v>Masovian</v>
      </c>
    </row>
    <row r="687" spans="1:11" x14ac:dyDescent="0.55000000000000004">
      <c r="A687" t="s">
        <v>863</v>
      </c>
      <c r="B687" t="s">
        <v>961</v>
      </c>
      <c r="C687" t="s">
        <v>939</v>
      </c>
      <c r="K687" t="str">
        <f>_xlfn.XLOOKUP(Table9[[#This Row],[admin_name]],$G$2:$G$33,$H$2:$H$33, Table9[[#This Row],[admin_name]])</f>
        <v>Masovian</v>
      </c>
    </row>
    <row r="688" spans="1:11" x14ac:dyDescent="0.55000000000000004">
      <c r="A688" t="s">
        <v>864</v>
      </c>
      <c r="B688" t="s">
        <v>961</v>
      </c>
      <c r="C688" t="s">
        <v>939</v>
      </c>
      <c r="K688" t="str">
        <f>_xlfn.XLOOKUP(Table9[[#This Row],[admin_name]],$G$2:$G$33,$H$2:$H$33, Table9[[#This Row],[admin_name]])</f>
        <v>Masovian</v>
      </c>
    </row>
    <row r="689" spans="1:11" x14ac:dyDescent="0.55000000000000004">
      <c r="A689" t="s">
        <v>865</v>
      </c>
      <c r="B689" t="s">
        <v>961</v>
      </c>
      <c r="C689" t="s">
        <v>939</v>
      </c>
      <c r="K689" t="str">
        <f>_xlfn.XLOOKUP(Table9[[#This Row],[admin_name]],$G$2:$G$33,$H$2:$H$33, Table9[[#This Row],[admin_name]])</f>
        <v>Masovian</v>
      </c>
    </row>
    <row r="690" spans="1:11" x14ac:dyDescent="0.55000000000000004">
      <c r="A690" t="s">
        <v>866</v>
      </c>
      <c r="B690" t="s">
        <v>944</v>
      </c>
      <c r="C690" t="s">
        <v>939</v>
      </c>
      <c r="K690" t="str">
        <f>_xlfn.XLOOKUP(Table9[[#This Row],[admin_name]],$G$2:$G$33,$H$2:$H$33, Table9[[#This Row],[admin_name]])</f>
        <v>Pomeranian</v>
      </c>
    </row>
    <row r="691" spans="1:11" x14ac:dyDescent="0.55000000000000004">
      <c r="A691" t="s">
        <v>582</v>
      </c>
      <c r="B691" t="s">
        <v>554</v>
      </c>
      <c r="C691" t="s">
        <v>939</v>
      </c>
      <c r="K691" t="str">
        <f>_xlfn.XLOOKUP(Table9[[#This Row],[admin_name]],$G$2:$G$33,$H$2:$H$33, Table9[[#This Row],[admin_name]])</f>
        <v>Lublin</v>
      </c>
    </row>
    <row r="692" spans="1:11" x14ac:dyDescent="0.55000000000000004">
      <c r="A692" t="s">
        <v>668</v>
      </c>
      <c r="B692" t="s">
        <v>944</v>
      </c>
      <c r="C692" t="s">
        <v>939</v>
      </c>
      <c r="K692" t="str">
        <f>_xlfn.XLOOKUP(Table9[[#This Row],[admin_name]],$G$2:$G$33,$H$2:$H$33, Table9[[#This Row],[admin_name]])</f>
        <v>Pomeranian</v>
      </c>
    </row>
    <row r="693" spans="1:11" x14ac:dyDescent="0.55000000000000004">
      <c r="A693" t="s">
        <v>692</v>
      </c>
      <c r="B693" t="s">
        <v>944</v>
      </c>
      <c r="C693" t="s">
        <v>939</v>
      </c>
      <c r="K693" t="str">
        <f>_xlfn.XLOOKUP(Table9[[#This Row],[admin_name]],$G$2:$G$33,$H$2:$H$33, Table9[[#This Row],[admin_name]])</f>
        <v>Pomeranian</v>
      </c>
    </row>
    <row r="694" spans="1:11" x14ac:dyDescent="0.55000000000000004">
      <c r="A694" t="s">
        <v>576</v>
      </c>
      <c r="B694" t="s">
        <v>942</v>
      </c>
      <c r="C694" t="s">
        <v>939</v>
      </c>
      <c r="K694" t="str">
        <f>_xlfn.XLOOKUP(Table9[[#This Row],[admin_name]],$G$2:$G$33,$H$2:$H$33, Table9[[#This Row],[admin_name]])</f>
        <v>Lower Silesian</v>
      </c>
    </row>
    <row r="695" spans="1:11" x14ac:dyDescent="0.55000000000000004">
      <c r="A695" t="s">
        <v>661</v>
      </c>
      <c r="B695" t="s">
        <v>941</v>
      </c>
      <c r="C695" t="s">
        <v>939</v>
      </c>
      <c r="K695" t="str">
        <f>_xlfn.XLOOKUP(Table9[[#This Row],[admin_name]],$G$2:$G$33,$H$2:$H$33, Table9[[#This Row],[admin_name]])</f>
        <v>Lesser Poland</v>
      </c>
    </row>
    <row r="696" spans="1:11" x14ac:dyDescent="0.55000000000000004">
      <c r="A696" t="s">
        <v>657</v>
      </c>
      <c r="B696" t="s">
        <v>949</v>
      </c>
      <c r="C696" t="s">
        <v>939</v>
      </c>
      <c r="K696" t="str">
        <f>_xlfn.XLOOKUP(Table9[[#This Row],[admin_name]],$G$2:$G$33,$H$2:$H$33, Table9[[#This Row],[admin_name]])</f>
        <v>Lubusz</v>
      </c>
    </row>
    <row r="697" spans="1:11" x14ac:dyDescent="0.55000000000000004">
      <c r="A697" t="s">
        <v>867</v>
      </c>
      <c r="B697" t="s">
        <v>948</v>
      </c>
      <c r="C697" t="s">
        <v>939</v>
      </c>
      <c r="K697" t="str">
        <f>_xlfn.XLOOKUP(Table9[[#This Row],[admin_name]],$G$2:$G$33,$H$2:$H$33, Table9[[#This Row],[admin_name]])</f>
        <v>Silesian</v>
      </c>
    </row>
    <row r="698" spans="1:11" x14ac:dyDescent="0.55000000000000004">
      <c r="A698" t="s">
        <v>868</v>
      </c>
      <c r="B698" t="s">
        <v>961</v>
      </c>
      <c r="C698" t="s">
        <v>939</v>
      </c>
      <c r="K698" t="str">
        <f>_xlfn.XLOOKUP(Table9[[#This Row],[admin_name]],$G$2:$G$33,$H$2:$H$33, Table9[[#This Row],[admin_name]])</f>
        <v>Masovian</v>
      </c>
    </row>
    <row r="699" spans="1:11" x14ac:dyDescent="0.55000000000000004">
      <c r="A699" t="s">
        <v>728</v>
      </c>
      <c r="B699" t="s">
        <v>949</v>
      </c>
      <c r="C699" t="s">
        <v>939</v>
      </c>
      <c r="K699" t="str">
        <f>_xlfn.XLOOKUP(Table9[[#This Row],[admin_name]],$G$2:$G$33,$H$2:$H$33, Table9[[#This Row],[admin_name]])</f>
        <v>Lubusz</v>
      </c>
    </row>
    <row r="700" spans="1:11" x14ac:dyDescent="0.55000000000000004">
      <c r="A700" t="s">
        <v>869</v>
      </c>
      <c r="B700" t="s">
        <v>942</v>
      </c>
      <c r="C700" t="s">
        <v>939</v>
      </c>
      <c r="K700" t="str">
        <f>_xlfn.XLOOKUP(Table9[[#This Row],[admin_name]],$G$2:$G$33,$H$2:$H$33, Table9[[#This Row],[admin_name]])</f>
        <v>Lower Silesian</v>
      </c>
    </row>
    <row r="701" spans="1:11" x14ac:dyDescent="0.55000000000000004">
      <c r="A701" t="s">
        <v>870</v>
      </c>
      <c r="B701" t="s">
        <v>948</v>
      </c>
      <c r="C701" t="s">
        <v>939</v>
      </c>
      <c r="K701" t="str">
        <f>_xlfn.XLOOKUP(Table9[[#This Row],[admin_name]],$G$2:$G$33,$H$2:$H$33, Table9[[#This Row],[admin_name]])</f>
        <v>Silesian</v>
      </c>
    </row>
    <row r="702" spans="1:11" x14ac:dyDescent="0.55000000000000004">
      <c r="A702" t="s">
        <v>700</v>
      </c>
      <c r="B702" t="s">
        <v>944</v>
      </c>
      <c r="C702" t="s">
        <v>939</v>
      </c>
      <c r="K702" t="str">
        <f>_xlfn.XLOOKUP(Table9[[#This Row],[admin_name]],$G$2:$G$33,$H$2:$H$33, Table9[[#This Row],[admin_name]])</f>
        <v>Pomeranian</v>
      </c>
    </row>
    <row r="703" spans="1:11" x14ac:dyDescent="0.55000000000000004">
      <c r="A703" t="s">
        <v>584</v>
      </c>
      <c r="B703" t="s">
        <v>626</v>
      </c>
      <c r="C703" t="s">
        <v>939</v>
      </c>
      <c r="K703" t="str">
        <f>_xlfn.XLOOKUP(Table9[[#This Row],[admin_name]],$G$2:$G$33,$H$2:$H$33, Table9[[#This Row],[admin_name]])</f>
        <v>Opole</v>
      </c>
    </row>
    <row r="704" spans="1:11" x14ac:dyDescent="0.55000000000000004">
      <c r="A704" t="s">
        <v>871</v>
      </c>
      <c r="B704" t="s">
        <v>961</v>
      </c>
      <c r="C704" t="s">
        <v>939</v>
      </c>
      <c r="K704" t="str">
        <f>_xlfn.XLOOKUP(Table9[[#This Row],[admin_name]],$G$2:$G$33,$H$2:$H$33, Table9[[#This Row],[admin_name]])</f>
        <v>Masovian</v>
      </c>
    </row>
    <row r="705" spans="1:11" x14ac:dyDescent="0.55000000000000004">
      <c r="A705" t="s">
        <v>872</v>
      </c>
      <c r="B705" t="s">
        <v>941</v>
      </c>
      <c r="C705" t="s">
        <v>939</v>
      </c>
      <c r="K705" t="str">
        <f>_xlfn.XLOOKUP(Table9[[#This Row],[admin_name]],$G$2:$G$33,$H$2:$H$33, Table9[[#This Row],[admin_name]])</f>
        <v>Lesser Poland</v>
      </c>
    </row>
    <row r="706" spans="1:11" x14ac:dyDescent="0.55000000000000004">
      <c r="A706" t="s">
        <v>631</v>
      </c>
      <c r="B706" t="s">
        <v>948</v>
      </c>
      <c r="C706" t="s">
        <v>939</v>
      </c>
      <c r="K706" t="str">
        <f>_xlfn.XLOOKUP(Table9[[#This Row],[admin_name]],$G$2:$G$33,$H$2:$H$33, Table9[[#This Row],[admin_name]])</f>
        <v>Silesian</v>
      </c>
    </row>
    <row r="707" spans="1:11" x14ac:dyDescent="0.55000000000000004">
      <c r="A707" t="s">
        <v>873</v>
      </c>
      <c r="B707" t="s">
        <v>942</v>
      </c>
      <c r="C707" t="s">
        <v>939</v>
      </c>
      <c r="K707" t="str">
        <f>_xlfn.XLOOKUP(Table9[[#This Row],[admin_name]],$G$2:$G$33,$H$2:$H$33, Table9[[#This Row],[admin_name]])</f>
        <v>Lower Silesian</v>
      </c>
    </row>
    <row r="708" spans="1:11" x14ac:dyDescent="0.55000000000000004">
      <c r="A708" t="s">
        <v>614</v>
      </c>
      <c r="B708" t="s">
        <v>943</v>
      </c>
      <c r="C708" t="s">
        <v>939</v>
      </c>
      <c r="K708" t="str">
        <f>_xlfn.XLOOKUP(Table9[[#This Row],[admin_name]],$G$2:$G$33,$H$2:$H$33, Table9[[#This Row],[admin_name]])</f>
        <v>Greater Poland</v>
      </c>
    </row>
    <row r="709" spans="1:11" x14ac:dyDescent="0.55000000000000004">
      <c r="A709" t="s">
        <v>611</v>
      </c>
      <c r="B709" t="s">
        <v>944</v>
      </c>
      <c r="C709" t="s">
        <v>939</v>
      </c>
      <c r="K709" t="str">
        <f>_xlfn.XLOOKUP(Table9[[#This Row],[admin_name]],$G$2:$G$33,$H$2:$H$33, Table9[[#This Row],[admin_name]])</f>
        <v>Pomeranian</v>
      </c>
    </row>
    <row r="710" spans="1:11" x14ac:dyDescent="0.55000000000000004">
      <c r="A710" t="s">
        <v>874</v>
      </c>
      <c r="B710" t="s">
        <v>950</v>
      </c>
      <c r="C710" t="s">
        <v>939</v>
      </c>
      <c r="K710" t="str">
        <f>_xlfn.XLOOKUP(Table9[[#This Row],[admin_name]],$G$2:$G$33,$H$2:$H$33, Table9[[#This Row],[admin_name]])</f>
        <v>Warmian-Masurian</v>
      </c>
    </row>
    <row r="711" spans="1:11" x14ac:dyDescent="0.55000000000000004">
      <c r="A711" t="s">
        <v>875</v>
      </c>
      <c r="B711" t="s">
        <v>554</v>
      </c>
      <c r="C711" t="s">
        <v>939</v>
      </c>
      <c r="K711" t="str">
        <f>_xlfn.XLOOKUP(Table9[[#This Row],[admin_name]],$G$2:$G$33,$H$2:$H$33, Table9[[#This Row],[admin_name]])</f>
        <v>Lublin</v>
      </c>
    </row>
    <row r="712" spans="1:11" x14ac:dyDescent="0.55000000000000004">
      <c r="A712" t="s">
        <v>876</v>
      </c>
      <c r="B712" t="s">
        <v>942</v>
      </c>
      <c r="C712" t="s">
        <v>939</v>
      </c>
      <c r="K712" t="str">
        <f>_xlfn.XLOOKUP(Table9[[#This Row],[admin_name]],$G$2:$G$33,$H$2:$H$33, Table9[[#This Row],[admin_name]])</f>
        <v>Lower Silesian</v>
      </c>
    </row>
    <row r="713" spans="1:11" x14ac:dyDescent="0.55000000000000004">
      <c r="A713" t="s">
        <v>877</v>
      </c>
      <c r="B713" t="s">
        <v>944</v>
      </c>
      <c r="C713" t="s">
        <v>939</v>
      </c>
      <c r="K713" t="str">
        <f>_xlfn.XLOOKUP(Table9[[#This Row],[admin_name]],$G$2:$G$33,$H$2:$H$33, Table9[[#This Row],[admin_name]])</f>
        <v>Pomeranian</v>
      </c>
    </row>
    <row r="714" spans="1:11" x14ac:dyDescent="0.55000000000000004">
      <c r="A714" t="s">
        <v>557</v>
      </c>
      <c r="B714" t="s">
        <v>948</v>
      </c>
      <c r="C714" t="s">
        <v>939</v>
      </c>
      <c r="K714" t="str">
        <f>_xlfn.XLOOKUP(Table9[[#This Row],[admin_name]],$G$2:$G$33,$H$2:$H$33, Table9[[#This Row],[admin_name]])</f>
        <v>Silesian</v>
      </c>
    </row>
    <row r="715" spans="1:11" x14ac:dyDescent="0.55000000000000004">
      <c r="A715" t="s">
        <v>878</v>
      </c>
      <c r="B715" t="s">
        <v>554</v>
      </c>
      <c r="C715" t="s">
        <v>939</v>
      </c>
      <c r="K715" t="str">
        <f>_xlfn.XLOOKUP(Table9[[#This Row],[admin_name]],$G$2:$G$33,$H$2:$H$33, Table9[[#This Row],[admin_name]])</f>
        <v>Lublin</v>
      </c>
    </row>
    <row r="716" spans="1:11" x14ac:dyDescent="0.55000000000000004">
      <c r="A716" t="s">
        <v>647</v>
      </c>
      <c r="B716" t="s">
        <v>942</v>
      </c>
      <c r="C716" t="s">
        <v>939</v>
      </c>
      <c r="K716" t="str">
        <f>_xlfn.XLOOKUP(Table9[[#This Row],[admin_name]],$G$2:$G$33,$H$2:$H$33, Table9[[#This Row],[admin_name]])</f>
        <v>Lower Silesian</v>
      </c>
    </row>
    <row r="717" spans="1:11" x14ac:dyDescent="0.55000000000000004">
      <c r="A717" t="s">
        <v>879</v>
      </c>
      <c r="B717" t="s">
        <v>946</v>
      </c>
      <c r="C717" t="s">
        <v>939</v>
      </c>
      <c r="K717" t="str">
        <f>_xlfn.XLOOKUP(Table9[[#This Row],[admin_name]],$G$2:$G$33,$H$2:$H$33, Table9[[#This Row],[admin_name]])</f>
        <v>Kuyavian-Pomeranian</v>
      </c>
    </row>
    <row r="718" spans="1:11" x14ac:dyDescent="0.55000000000000004">
      <c r="A718" t="s">
        <v>880</v>
      </c>
      <c r="B718" t="s">
        <v>950</v>
      </c>
      <c r="C718" t="s">
        <v>939</v>
      </c>
      <c r="K718" t="str">
        <f>_xlfn.XLOOKUP(Table9[[#This Row],[admin_name]],$G$2:$G$33,$H$2:$H$33, Table9[[#This Row],[admin_name]])</f>
        <v>Warmian-Masurian</v>
      </c>
    </row>
    <row r="719" spans="1:11" x14ac:dyDescent="0.55000000000000004">
      <c r="A719" t="s">
        <v>680</v>
      </c>
      <c r="B719" t="s">
        <v>961</v>
      </c>
      <c r="C719" t="s">
        <v>939</v>
      </c>
      <c r="K719" t="str">
        <f>_xlfn.XLOOKUP(Table9[[#This Row],[admin_name]],$G$2:$G$33,$H$2:$H$33, Table9[[#This Row],[admin_name]])</f>
        <v>Masovian</v>
      </c>
    </row>
    <row r="720" spans="1:11" x14ac:dyDescent="0.55000000000000004">
      <c r="A720" t="s">
        <v>881</v>
      </c>
      <c r="B720" t="s">
        <v>579</v>
      </c>
      <c r="C720" t="s">
        <v>939</v>
      </c>
      <c r="K720" t="str">
        <f>_xlfn.XLOOKUP(Table9[[#This Row],[admin_name]],$G$2:$G$33,$H$2:$H$33, Table9[[#This Row],[admin_name]])</f>
        <v>Łódź</v>
      </c>
    </row>
    <row r="721" spans="1:11" x14ac:dyDescent="0.55000000000000004">
      <c r="A721" t="s">
        <v>666</v>
      </c>
      <c r="B721" t="s">
        <v>941</v>
      </c>
      <c r="C721" t="s">
        <v>939</v>
      </c>
      <c r="K721" t="str">
        <f>_xlfn.XLOOKUP(Table9[[#This Row],[admin_name]],$G$2:$G$33,$H$2:$H$33, Table9[[#This Row],[admin_name]])</f>
        <v>Lesser Poland</v>
      </c>
    </row>
    <row r="722" spans="1:11" x14ac:dyDescent="0.55000000000000004">
      <c r="A722" t="s">
        <v>720</v>
      </c>
      <c r="B722" t="s">
        <v>950</v>
      </c>
      <c r="C722" t="s">
        <v>939</v>
      </c>
      <c r="K722" t="str">
        <f>_xlfn.XLOOKUP(Table9[[#This Row],[admin_name]],$G$2:$G$33,$H$2:$H$33, Table9[[#This Row],[admin_name]])</f>
        <v>Warmian-Masurian</v>
      </c>
    </row>
    <row r="723" spans="1:11" x14ac:dyDescent="0.55000000000000004">
      <c r="A723" t="s">
        <v>882</v>
      </c>
      <c r="B723" t="s">
        <v>948</v>
      </c>
      <c r="C723" t="s">
        <v>939</v>
      </c>
      <c r="K723" t="str">
        <f>_xlfn.XLOOKUP(Table9[[#This Row],[admin_name]],$G$2:$G$33,$H$2:$H$33, Table9[[#This Row],[admin_name]])</f>
        <v>Silesian</v>
      </c>
    </row>
    <row r="724" spans="1:11" x14ac:dyDescent="0.55000000000000004">
      <c r="A724" t="s">
        <v>570</v>
      </c>
      <c r="B724" t="s">
        <v>943</v>
      </c>
      <c r="C724" t="s">
        <v>939</v>
      </c>
      <c r="K724" t="str">
        <f>_xlfn.XLOOKUP(Table9[[#This Row],[admin_name]],$G$2:$G$33,$H$2:$H$33, Table9[[#This Row],[admin_name]])</f>
        <v>Greater Poland</v>
      </c>
    </row>
    <row r="725" spans="1:11" x14ac:dyDescent="0.55000000000000004">
      <c r="A725" t="s">
        <v>574</v>
      </c>
      <c r="B725" t="s">
        <v>554</v>
      </c>
      <c r="C725" t="s">
        <v>939</v>
      </c>
      <c r="K725" t="str">
        <f>_xlfn.XLOOKUP(Table9[[#This Row],[admin_name]],$G$2:$G$33,$H$2:$H$33, Table9[[#This Row],[admin_name]])</f>
        <v>Lublin</v>
      </c>
    </row>
    <row r="726" spans="1:11" x14ac:dyDescent="0.55000000000000004">
      <c r="A726" t="s">
        <v>883</v>
      </c>
      <c r="B726" t="s">
        <v>943</v>
      </c>
      <c r="C726" t="s">
        <v>939</v>
      </c>
      <c r="K726" t="str">
        <f>_xlfn.XLOOKUP(Table9[[#This Row],[admin_name]],$G$2:$G$33,$H$2:$H$33, Table9[[#This Row],[admin_name]])</f>
        <v>Greater Poland</v>
      </c>
    </row>
    <row r="727" spans="1:11" x14ac:dyDescent="0.55000000000000004">
      <c r="A727" t="s">
        <v>884</v>
      </c>
      <c r="B727" t="s">
        <v>941</v>
      </c>
      <c r="C727" t="s">
        <v>939</v>
      </c>
      <c r="K727" t="str">
        <f>_xlfn.XLOOKUP(Table9[[#This Row],[admin_name]],$G$2:$G$33,$H$2:$H$33, Table9[[#This Row],[admin_name]])</f>
        <v>Lesser Poland</v>
      </c>
    </row>
    <row r="728" spans="1:11" x14ac:dyDescent="0.55000000000000004">
      <c r="A728" t="s">
        <v>654</v>
      </c>
      <c r="B728" t="s">
        <v>943</v>
      </c>
      <c r="C728" t="s">
        <v>939</v>
      </c>
      <c r="K728" t="str">
        <f>_xlfn.XLOOKUP(Table9[[#This Row],[admin_name]],$G$2:$G$33,$H$2:$H$33, Table9[[#This Row],[admin_name]])</f>
        <v>Greater Poland</v>
      </c>
    </row>
    <row r="729" spans="1:11" x14ac:dyDescent="0.55000000000000004">
      <c r="A729" t="s">
        <v>885</v>
      </c>
      <c r="B729" t="s">
        <v>944</v>
      </c>
      <c r="C729" t="s">
        <v>939</v>
      </c>
      <c r="K729" t="str">
        <f>_xlfn.XLOOKUP(Table9[[#This Row],[admin_name]],$G$2:$G$33,$H$2:$H$33, Table9[[#This Row],[admin_name]])</f>
        <v>Pomeranian</v>
      </c>
    </row>
    <row r="730" spans="1:11" x14ac:dyDescent="0.55000000000000004">
      <c r="A730" t="s">
        <v>578</v>
      </c>
      <c r="B730" t="s">
        <v>961</v>
      </c>
      <c r="C730" t="s">
        <v>939</v>
      </c>
      <c r="K730" t="str">
        <f>_xlfn.XLOOKUP(Table9[[#This Row],[admin_name]],$G$2:$G$33,$H$2:$H$33, Table9[[#This Row],[admin_name]])</f>
        <v>Masovian</v>
      </c>
    </row>
    <row r="731" spans="1:11" x14ac:dyDescent="0.55000000000000004">
      <c r="A731" t="s">
        <v>618</v>
      </c>
      <c r="B731" t="s">
        <v>950</v>
      </c>
      <c r="C731" t="s">
        <v>939</v>
      </c>
      <c r="K731" t="str">
        <f>_xlfn.XLOOKUP(Table9[[#This Row],[admin_name]],$G$2:$G$33,$H$2:$H$33, Table9[[#This Row],[admin_name]])</f>
        <v>Warmian-Masurian</v>
      </c>
    </row>
    <row r="732" spans="1:11" x14ac:dyDescent="0.55000000000000004">
      <c r="A732" t="s">
        <v>886</v>
      </c>
      <c r="B732" t="s">
        <v>950</v>
      </c>
      <c r="C732" t="s">
        <v>939</v>
      </c>
      <c r="K732" t="str">
        <f>_xlfn.XLOOKUP(Table9[[#This Row],[admin_name]],$G$2:$G$33,$H$2:$H$33, Table9[[#This Row],[admin_name]])</f>
        <v>Warmian-Masurian</v>
      </c>
    </row>
    <row r="733" spans="1:11" x14ac:dyDescent="0.55000000000000004">
      <c r="A733" t="s">
        <v>887</v>
      </c>
      <c r="B733" t="s">
        <v>961</v>
      </c>
      <c r="C733" t="s">
        <v>939</v>
      </c>
      <c r="K733" t="str">
        <f>_xlfn.XLOOKUP(Table9[[#This Row],[admin_name]],$G$2:$G$33,$H$2:$H$33, Table9[[#This Row],[admin_name]])</f>
        <v>Masovian</v>
      </c>
    </row>
    <row r="734" spans="1:11" x14ac:dyDescent="0.55000000000000004">
      <c r="A734" t="s">
        <v>653</v>
      </c>
      <c r="B734" t="s">
        <v>942</v>
      </c>
      <c r="C734" t="s">
        <v>939</v>
      </c>
      <c r="K734" t="str">
        <f>_xlfn.XLOOKUP(Table9[[#This Row],[admin_name]],$G$2:$G$33,$H$2:$H$33, Table9[[#This Row],[admin_name]])</f>
        <v>Lower Silesian</v>
      </c>
    </row>
    <row r="735" spans="1:11" x14ac:dyDescent="0.55000000000000004">
      <c r="A735" t="s">
        <v>888</v>
      </c>
      <c r="B735" t="s">
        <v>962</v>
      </c>
      <c r="C735" t="s">
        <v>939</v>
      </c>
      <c r="K735" t="str">
        <f>_xlfn.XLOOKUP(Table9[[#This Row],[admin_name]],$G$2:$G$33,$H$2:$H$33, Table9[[#This Row],[admin_name]])</f>
        <v>Podlachian</v>
      </c>
    </row>
    <row r="736" spans="1:11" x14ac:dyDescent="0.55000000000000004">
      <c r="A736" t="s">
        <v>889</v>
      </c>
      <c r="B736" t="s">
        <v>962</v>
      </c>
      <c r="C736" t="s">
        <v>939</v>
      </c>
      <c r="K736" t="str">
        <f>_xlfn.XLOOKUP(Table9[[#This Row],[admin_name]],$G$2:$G$33,$H$2:$H$33, Table9[[#This Row],[admin_name]])</f>
        <v>Podlachian</v>
      </c>
    </row>
    <row r="737" spans="1:11" x14ac:dyDescent="0.55000000000000004">
      <c r="A737" t="s">
        <v>890</v>
      </c>
      <c r="B737" t="s">
        <v>950</v>
      </c>
      <c r="C737" t="s">
        <v>939</v>
      </c>
      <c r="K737" t="str">
        <f>_xlfn.XLOOKUP(Table9[[#This Row],[admin_name]],$G$2:$G$33,$H$2:$H$33, Table9[[#This Row],[admin_name]])</f>
        <v>Warmian-Masurian</v>
      </c>
    </row>
    <row r="738" spans="1:11" x14ac:dyDescent="0.55000000000000004">
      <c r="A738" t="s">
        <v>891</v>
      </c>
      <c r="B738" t="s">
        <v>961</v>
      </c>
      <c r="C738" t="s">
        <v>939</v>
      </c>
      <c r="K738" t="str">
        <f>_xlfn.XLOOKUP(Table9[[#This Row],[admin_name]],$G$2:$G$33,$H$2:$H$33, Table9[[#This Row],[admin_name]])</f>
        <v>Masovian</v>
      </c>
    </row>
    <row r="739" spans="1:11" x14ac:dyDescent="0.55000000000000004">
      <c r="A739" t="s">
        <v>892</v>
      </c>
      <c r="B739" t="s">
        <v>950</v>
      </c>
      <c r="C739" t="s">
        <v>939</v>
      </c>
      <c r="K739" t="str">
        <f>_xlfn.XLOOKUP(Table9[[#This Row],[admin_name]],$G$2:$G$33,$H$2:$H$33, Table9[[#This Row],[admin_name]])</f>
        <v>Warmian-Masurian</v>
      </c>
    </row>
    <row r="740" spans="1:11" x14ac:dyDescent="0.55000000000000004">
      <c r="A740" t="s">
        <v>696</v>
      </c>
      <c r="B740" t="s">
        <v>554</v>
      </c>
      <c r="C740" t="s">
        <v>939</v>
      </c>
      <c r="K740" t="str">
        <f>_xlfn.XLOOKUP(Table9[[#This Row],[admin_name]],$G$2:$G$33,$H$2:$H$33, Table9[[#This Row],[admin_name]])</f>
        <v>Lublin</v>
      </c>
    </row>
    <row r="741" spans="1:11" x14ac:dyDescent="0.55000000000000004">
      <c r="A741" t="s">
        <v>893</v>
      </c>
      <c r="B741" t="s">
        <v>943</v>
      </c>
      <c r="C741" t="s">
        <v>939</v>
      </c>
      <c r="K741" t="str">
        <f>_xlfn.XLOOKUP(Table9[[#This Row],[admin_name]],$G$2:$G$33,$H$2:$H$33, Table9[[#This Row],[admin_name]])</f>
        <v>Greater Poland</v>
      </c>
    </row>
    <row r="742" spans="1:11" x14ac:dyDescent="0.55000000000000004">
      <c r="A742" t="s">
        <v>894</v>
      </c>
      <c r="B742" t="s">
        <v>942</v>
      </c>
      <c r="C742" t="s">
        <v>939</v>
      </c>
      <c r="K742" t="str">
        <f>_xlfn.XLOOKUP(Table9[[#This Row],[admin_name]],$G$2:$G$33,$H$2:$H$33, Table9[[#This Row],[admin_name]])</f>
        <v>Lower Silesian</v>
      </c>
    </row>
    <row r="743" spans="1:11" x14ac:dyDescent="0.55000000000000004">
      <c r="A743" t="s">
        <v>633</v>
      </c>
      <c r="B743" t="s">
        <v>946</v>
      </c>
      <c r="C743" t="s">
        <v>939</v>
      </c>
      <c r="K743" t="str">
        <f>_xlfn.XLOOKUP(Table9[[#This Row],[admin_name]],$G$2:$G$33,$H$2:$H$33, Table9[[#This Row],[admin_name]])</f>
        <v>Kuyavian-Pomeranian</v>
      </c>
    </row>
    <row r="744" spans="1:11" x14ac:dyDescent="0.55000000000000004">
      <c r="A744" t="s">
        <v>895</v>
      </c>
      <c r="B744" t="s">
        <v>943</v>
      </c>
      <c r="C744" t="s">
        <v>939</v>
      </c>
      <c r="K744" t="str">
        <f>_xlfn.XLOOKUP(Table9[[#This Row],[admin_name]],$G$2:$G$33,$H$2:$H$33, Table9[[#This Row],[admin_name]])</f>
        <v>Greater Poland</v>
      </c>
    </row>
    <row r="745" spans="1:11" x14ac:dyDescent="0.55000000000000004">
      <c r="A745" t="s">
        <v>896</v>
      </c>
      <c r="B745" t="s">
        <v>579</v>
      </c>
      <c r="C745" t="s">
        <v>939</v>
      </c>
      <c r="K745" t="str">
        <f>_xlfn.XLOOKUP(Table9[[#This Row],[admin_name]],$G$2:$G$33,$H$2:$H$33, Table9[[#This Row],[admin_name]])</f>
        <v>Łódź</v>
      </c>
    </row>
    <row r="746" spans="1:11" x14ac:dyDescent="0.55000000000000004">
      <c r="A746" t="s">
        <v>897</v>
      </c>
      <c r="B746" t="s">
        <v>554</v>
      </c>
      <c r="C746" t="s">
        <v>939</v>
      </c>
      <c r="K746" t="str">
        <f>_xlfn.XLOOKUP(Table9[[#This Row],[admin_name]],$G$2:$G$33,$H$2:$H$33, Table9[[#This Row],[admin_name]])</f>
        <v>Lublin</v>
      </c>
    </row>
    <row r="747" spans="1:11" x14ac:dyDescent="0.55000000000000004">
      <c r="A747" t="s">
        <v>898</v>
      </c>
      <c r="B747" t="s">
        <v>948</v>
      </c>
      <c r="C747" t="s">
        <v>939</v>
      </c>
      <c r="K747" t="str">
        <f>_xlfn.XLOOKUP(Table9[[#This Row],[admin_name]],$G$2:$G$33,$H$2:$H$33, Table9[[#This Row],[admin_name]])</f>
        <v>Silesian</v>
      </c>
    </row>
    <row r="748" spans="1:11" x14ac:dyDescent="0.55000000000000004">
      <c r="A748" t="s">
        <v>899</v>
      </c>
      <c r="B748" t="s">
        <v>961</v>
      </c>
      <c r="C748" t="s">
        <v>939</v>
      </c>
      <c r="K748" t="str">
        <f>_xlfn.XLOOKUP(Table9[[#This Row],[admin_name]],$G$2:$G$33,$H$2:$H$33, Table9[[#This Row],[admin_name]])</f>
        <v>Masovian</v>
      </c>
    </row>
    <row r="749" spans="1:11" x14ac:dyDescent="0.55000000000000004">
      <c r="A749" t="s">
        <v>900</v>
      </c>
      <c r="B749" t="s">
        <v>943</v>
      </c>
      <c r="C749" t="s">
        <v>939</v>
      </c>
      <c r="K749" t="str">
        <f>_xlfn.XLOOKUP(Table9[[#This Row],[admin_name]],$G$2:$G$33,$H$2:$H$33, Table9[[#This Row],[admin_name]])</f>
        <v>Greater Poland</v>
      </c>
    </row>
    <row r="750" spans="1:11" x14ac:dyDescent="0.55000000000000004">
      <c r="A750" t="s">
        <v>901</v>
      </c>
      <c r="B750" t="s">
        <v>944</v>
      </c>
      <c r="C750" t="s">
        <v>939</v>
      </c>
      <c r="K750" t="str">
        <f>_xlfn.XLOOKUP(Table9[[#This Row],[admin_name]],$G$2:$G$33,$H$2:$H$33, Table9[[#This Row],[admin_name]])</f>
        <v>Pomeranian</v>
      </c>
    </row>
    <row r="751" spans="1:11" x14ac:dyDescent="0.55000000000000004">
      <c r="A751" t="s">
        <v>733</v>
      </c>
      <c r="B751" t="s">
        <v>951</v>
      </c>
      <c r="C751" t="s">
        <v>939</v>
      </c>
      <c r="K751" t="str">
        <f>_xlfn.XLOOKUP(Table9[[#This Row],[admin_name]],$G$2:$G$33,$H$2:$H$33, Table9[[#This Row],[admin_name]])</f>
        <v>Subcarpathian</v>
      </c>
    </row>
    <row r="752" spans="1:11" x14ac:dyDescent="0.55000000000000004">
      <c r="A752" t="s">
        <v>902</v>
      </c>
      <c r="B752" t="s">
        <v>948</v>
      </c>
      <c r="C752" t="s">
        <v>939</v>
      </c>
      <c r="K752" t="str">
        <f>_xlfn.XLOOKUP(Table9[[#This Row],[admin_name]],$G$2:$G$33,$H$2:$H$33, Table9[[#This Row],[admin_name]])</f>
        <v>Silesian</v>
      </c>
    </row>
    <row r="753" spans="1:11" x14ac:dyDescent="0.55000000000000004">
      <c r="A753" t="s">
        <v>617</v>
      </c>
      <c r="B753" t="s">
        <v>961</v>
      </c>
      <c r="C753" t="s">
        <v>939</v>
      </c>
      <c r="K753" t="str">
        <f>_xlfn.XLOOKUP(Table9[[#This Row],[admin_name]],$G$2:$G$33,$H$2:$H$33, Table9[[#This Row],[admin_name]])</f>
        <v>Masovian</v>
      </c>
    </row>
    <row r="754" spans="1:11" x14ac:dyDescent="0.55000000000000004">
      <c r="A754" t="s">
        <v>629</v>
      </c>
      <c r="B754" t="s">
        <v>950</v>
      </c>
      <c r="C754" t="s">
        <v>939</v>
      </c>
      <c r="K754" t="str">
        <f>_xlfn.XLOOKUP(Table9[[#This Row],[admin_name]],$G$2:$G$33,$H$2:$H$33, Table9[[#This Row],[admin_name]])</f>
        <v>Warmian-Masurian</v>
      </c>
    </row>
    <row r="755" spans="1:11" x14ac:dyDescent="0.55000000000000004">
      <c r="A755" t="s">
        <v>736</v>
      </c>
      <c r="B755" t="s">
        <v>579</v>
      </c>
      <c r="C755" t="s">
        <v>939</v>
      </c>
      <c r="K755" t="str">
        <f>_xlfn.XLOOKUP(Table9[[#This Row],[admin_name]],$G$2:$G$33,$H$2:$H$33, Table9[[#This Row],[admin_name]])</f>
        <v>Łódź</v>
      </c>
    </row>
    <row r="756" spans="1:11" x14ac:dyDescent="0.55000000000000004">
      <c r="A756" t="s">
        <v>903</v>
      </c>
      <c r="B756" t="s">
        <v>948</v>
      </c>
      <c r="C756" t="s">
        <v>939</v>
      </c>
      <c r="K756" t="str">
        <f>_xlfn.XLOOKUP(Table9[[#This Row],[admin_name]],$G$2:$G$33,$H$2:$H$33, Table9[[#This Row],[admin_name]])</f>
        <v>Silesian</v>
      </c>
    </row>
    <row r="757" spans="1:11" x14ac:dyDescent="0.55000000000000004">
      <c r="A757" t="s">
        <v>904</v>
      </c>
      <c r="B757" t="s">
        <v>944</v>
      </c>
      <c r="C757" t="s">
        <v>939</v>
      </c>
      <c r="K757" t="str">
        <f>_xlfn.XLOOKUP(Table9[[#This Row],[admin_name]],$G$2:$G$33,$H$2:$H$33, Table9[[#This Row],[admin_name]])</f>
        <v>Pomeranian</v>
      </c>
    </row>
    <row r="758" spans="1:11" x14ac:dyDescent="0.55000000000000004">
      <c r="A758" t="s">
        <v>707</v>
      </c>
      <c r="B758" t="s">
        <v>946</v>
      </c>
      <c r="C758" t="s">
        <v>939</v>
      </c>
      <c r="K758" t="str">
        <f>_xlfn.XLOOKUP(Table9[[#This Row],[admin_name]],$G$2:$G$33,$H$2:$H$33, Table9[[#This Row],[admin_name]])</f>
        <v>Kuyavian-Pomeranian</v>
      </c>
    </row>
    <row r="759" spans="1:11" x14ac:dyDescent="0.55000000000000004">
      <c r="A759" t="s">
        <v>905</v>
      </c>
      <c r="B759" t="s">
        <v>950</v>
      </c>
      <c r="C759" t="s">
        <v>939</v>
      </c>
      <c r="K759" t="str">
        <f>_xlfn.XLOOKUP(Table9[[#This Row],[admin_name]],$G$2:$G$33,$H$2:$H$33, Table9[[#This Row],[admin_name]])</f>
        <v>Warmian-Masurian</v>
      </c>
    </row>
    <row r="760" spans="1:11" x14ac:dyDescent="0.55000000000000004">
      <c r="A760" t="s">
        <v>572</v>
      </c>
      <c r="B760" t="s">
        <v>942</v>
      </c>
      <c r="C760" t="s">
        <v>939</v>
      </c>
      <c r="K760" t="str">
        <f>_xlfn.XLOOKUP(Table9[[#This Row],[admin_name]],$G$2:$G$33,$H$2:$H$33, Table9[[#This Row],[admin_name]])</f>
        <v>Lower Silesian</v>
      </c>
    </row>
    <row r="761" spans="1:11" x14ac:dyDescent="0.55000000000000004">
      <c r="A761" t="s">
        <v>705</v>
      </c>
      <c r="B761" t="s">
        <v>944</v>
      </c>
      <c r="C761" t="s">
        <v>939</v>
      </c>
      <c r="K761" t="str">
        <f>_xlfn.XLOOKUP(Table9[[#This Row],[admin_name]],$G$2:$G$33,$H$2:$H$33, Table9[[#This Row],[admin_name]])</f>
        <v>Pomeranian</v>
      </c>
    </row>
    <row r="762" spans="1:11" x14ac:dyDescent="0.55000000000000004">
      <c r="A762" t="s">
        <v>906</v>
      </c>
      <c r="B762" t="s">
        <v>942</v>
      </c>
      <c r="C762" t="s">
        <v>939</v>
      </c>
      <c r="K762" t="str">
        <f>_xlfn.XLOOKUP(Table9[[#This Row],[admin_name]],$G$2:$G$33,$H$2:$H$33, Table9[[#This Row],[admin_name]])</f>
        <v>Lower Silesian</v>
      </c>
    </row>
    <row r="763" spans="1:11" x14ac:dyDescent="0.55000000000000004">
      <c r="A763" t="s">
        <v>592</v>
      </c>
      <c r="B763" t="s">
        <v>946</v>
      </c>
      <c r="C763" t="s">
        <v>939</v>
      </c>
      <c r="K763" t="str">
        <f>_xlfn.XLOOKUP(Table9[[#This Row],[admin_name]],$G$2:$G$33,$H$2:$H$33, Table9[[#This Row],[admin_name]])</f>
        <v>Kuyavian-Pomeranian</v>
      </c>
    </row>
    <row r="764" spans="1:11" x14ac:dyDescent="0.55000000000000004">
      <c r="A764" t="s">
        <v>907</v>
      </c>
      <c r="B764" t="s">
        <v>946</v>
      </c>
      <c r="C764" t="s">
        <v>939</v>
      </c>
      <c r="K764" t="str">
        <f>_xlfn.XLOOKUP(Table9[[#This Row],[admin_name]],$G$2:$G$33,$H$2:$H$33, Table9[[#This Row],[admin_name]])</f>
        <v>Kuyavian-Pomeranian</v>
      </c>
    </row>
    <row r="765" spans="1:11" x14ac:dyDescent="0.55000000000000004">
      <c r="A765" t="s">
        <v>600</v>
      </c>
      <c r="B765" t="s">
        <v>579</v>
      </c>
      <c r="C765" t="s">
        <v>939</v>
      </c>
      <c r="K765" t="str">
        <f>_xlfn.XLOOKUP(Table9[[#This Row],[admin_name]],$G$2:$G$33,$H$2:$H$33, Table9[[#This Row],[admin_name]])</f>
        <v>Łódź</v>
      </c>
    </row>
    <row r="766" spans="1:11" x14ac:dyDescent="0.55000000000000004">
      <c r="A766" t="s">
        <v>908</v>
      </c>
      <c r="B766" t="s">
        <v>948</v>
      </c>
      <c r="C766" t="s">
        <v>939</v>
      </c>
      <c r="K766" t="str">
        <f>_xlfn.XLOOKUP(Table9[[#This Row],[admin_name]],$G$2:$G$33,$H$2:$H$33, Table9[[#This Row],[admin_name]])</f>
        <v>Silesian</v>
      </c>
    </row>
    <row r="767" spans="1:11" x14ac:dyDescent="0.55000000000000004">
      <c r="A767" t="s">
        <v>909</v>
      </c>
      <c r="B767" t="s">
        <v>943</v>
      </c>
      <c r="C767" t="s">
        <v>939</v>
      </c>
      <c r="K767" t="str">
        <f>_xlfn.XLOOKUP(Table9[[#This Row],[admin_name]],$G$2:$G$33,$H$2:$H$33, Table9[[#This Row],[admin_name]])</f>
        <v>Greater Poland</v>
      </c>
    </row>
    <row r="768" spans="1:11" x14ac:dyDescent="0.55000000000000004">
      <c r="A768" t="s">
        <v>601</v>
      </c>
      <c r="B768" t="s">
        <v>944</v>
      </c>
      <c r="C768" t="s">
        <v>939</v>
      </c>
      <c r="K768" t="str">
        <f>_xlfn.XLOOKUP(Table9[[#This Row],[admin_name]],$G$2:$G$33,$H$2:$H$33, Table9[[#This Row],[admin_name]])</f>
        <v>Pomeranian</v>
      </c>
    </row>
    <row r="769" spans="1:11" x14ac:dyDescent="0.55000000000000004">
      <c r="A769" t="s">
        <v>910</v>
      </c>
      <c r="B769" t="s">
        <v>946</v>
      </c>
      <c r="C769" t="s">
        <v>939</v>
      </c>
      <c r="K769" t="str">
        <f>_xlfn.XLOOKUP(Table9[[#This Row],[admin_name]],$G$2:$G$33,$H$2:$H$33, Table9[[#This Row],[admin_name]])</f>
        <v>Kuyavian-Pomeranian</v>
      </c>
    </row>
    <row r="770" spans="1:11" x14ac:dyDescent="0.55000000000000004">
      <c r="A770" t="s">
        <v>911</v>
      </c>
      <c r="B770" t="s">
        <v>944</v>
      </c>
      <c r="C770" t="s">
        <v>939</v>
      </c>
      <c r="K770" t="str">
        <f>_xlfn.XLOOKUP(Table9[[#This Row],[admin_name]],$G$2:$G$33,$H$2:$H$33, Table9[[#This Row],[admin_name]])</f>
        <v>Pomeranian</v>
      </c>
    </row>
    <row r="771" spans="1:11" x14ac:dyDescent="0.55000000000000004">
      <c r="A771" t="s">
        <v>616</v>
      </c>
      <c r="B771" t="s">
        <v>942</v>
      </c>
      <c r="C771" t="s">
        <v>939</v>
      </c>
      <c r="K771" t="str">
        <f>_xlfn.XLOOKUP(Table9[[#This Row],[admin_name]],$G$2:$G$33,$H$2:$H$33, Table9[[#This Row],[admin_name]])</f>
        <v>Lower Silesian</v>
      </c>
    </row>
    <row r="772" spans="1:11" x14ac:dyDescent="0.55000000000000004">
      <c r="A772" t="s">
        <v>912</v>
      </c>
      <c r="B772" t="s">
        <v>948</v>
      </c>
      <c r="C772" t="s">
        <v>939</v>
      </c>
      <c r="K772" t="str">
        <f>_xlfn.XLOOKUP(Table9[[#This Row],[admin_name]],$G$2:$G$33,$H$2:$H$33, Table9[[#This Row],[admin_name]])</f>
        <v>Silesian</v>
      </c>
    </row>
    <row r="773" spans="1:11" x14ac:dyDescent="0.55000000000000004">
      <c r="A773" t="s">
        <v>913</v>
      </c>
      <c r="B773" t="s">
        <v>948</v>
      </c>
      <c r="C773" t="s">
        <v>939</v>
      </c>
      <c r="K773" t="str">
        <f>_xlfn.XLOOKUP(Table9[[#This Row],[admin_name]],$G$2:$G$33,$H$2:$H$33, Table9[[#This Row],[admin_name]])</f>
        <v>Silesian</v>
      </c>
    </row>
    <row r="774" spans="1:11" x14ac:dyDescent="0.55000000000000004">
      <c r="A774" t="s">
        <v>914</v>
      </c>
      <c r="B774" t="s">
        <v>946</v>
      </c>
      <c r="C774" t="s">
        <v>939</v>
      </c>
      <c r="K774" t="str">
        <f>_xlfn.XLOOKUP(Table9[[#This Row],[admin_name]],$G$2:$G$33,$H$2:$H$33, Table9[[#This Row],[admin_name]])</f>
        <v>Kuyavian-Pomeranian</v>
      </c>
    </row>
    <row r="775" spans="1:11" x14ac:dyDescent="0.55000000000000004">
      <c r="A775" t="s">
        <v>915</v>
      </c>
      <c r="B775" t="s">
        <v>946</v>
      </c>
      <c r="C775" t="s">
        <v>939</v>
      </c>
      <c r="K775" t="str">
        <f>_xlfn.XLOOKUP(Table9[[#This Row],[admin_name]],$G$2:$G$33,$H$2:$H$33, Table9[[#This Row],[admin_name]])</f>
        <v>Kuyavian-Pomeranian</v>
      </c>
    </row>
    <row r="776" spans="1:11" x14ac:dyDescent="0.55000000000000004">
      <c r="A776" t="s">
        <v>916</v>
      </c>
      <c r="B776" t="s">
        <v>944</v>
      </c>
      <c r="C776" t="s">
        <v>939</v>
      </c>
      <c r="K776" t="str">
        <f>_xlfn.XLOOKUP(Table9[[#This Row],[admin_name]],$G$2:$G$33,$H$2:$H$33, Table9[[#This Row],[admin_name]])</f>
        <v>Pomeranian</v>
      </c>
    </row>
    <row r="777" spans="1:11" x14ac:dyDescent="0.55000000000000004">
      <c r="A777" t="s">
        <v>917</v>
      </c>
      <c r="B777" t="s">
        <v>944</v>
      </c>
      <c r="C777" t="s">
        <v>939</v>
      </c>
      <c r="K777" t="str">
        <f>_xlfn.XLOOKUP(Table9[[#This Row],[admin_name]],$G$2:$G$33,$H$2:$H$33, Table9[[#This Row],[admin_name]])</f>
        <v>Pomeranian</v>
      </c>
    </row>
    <row r="778" spans="1:11" x14ac:dyDescent="0.55000000000000004">
      <c r="A778" t="s">
        <v>918</v>
      </c>
      <c r="B778" t="s">
        <v>943</v>
      </c>
      <c r="C778" t="s">
        <v>939</v>
      </c>
      <c r="K778" t="str">
        <f>_xlfn.XLOOKUP(Table9[[#This Row],[admin_name]],$G$2:$G$33,$H$2:$H$33, Table9[[#This Row],[admin_name]])</f>
        <v>Greater Poland</v>
      </c>
    </row>
    <row r="779" spans="1:11" x14ac:dyDescent="0.55000000000000004">
      <c r="A779" t="s">
        <v>919</v>
      </c>
      <c r="B779" t="s">
        <v>948</v>
      </c>
      <c r="C779" t="s">
        <v>939</v>
      </c>
      <c r="K779" t="str">
        <f>_xlfn.XLOOKUP(Table9[[#This Row],[admin_name]],$G$2:$G$33,$H$2:$H$33, Table9[[#This Row],[admin_name]])</f>
        <v>Silesian</v>
      </c>
    </row>
    <row r="780" spans="1:11" x14ac:dyDescent="0.55000000000000004">
      <c r="A780" t="s">
        <v>920</v>
      </c>
      <c r="B780" t="s">
        <v>948</v>
      </c>
      <c r="C780" t="s">
        <v>939</v>
      </c>
      <c r="K780" t="str">
        <f>_xlfn.XLOOKUP(Table9[[#This Row],[admin_name]],$G$2:$G$33,$H$2:$H$33, Table9[[#This Row],[admin_name]])</f>
        <v>Silesian</v>
      </c>
    </row>
    <row r="781" spans="1:11" x14ac:dyDescent="0.55000000000000004">
      <c r="A781" t="s">
        <v>921</v>
      </c>
      <c r="B781" t="s">
        <v>948</v>
      </c>
      <c r="C781" t="s">
        <v>939</v>
      </c>
      <c r="K781" t="str">
        <f>_xlfn.XLOOKUP(Table9[[#This Row],[admin_name]],$G$2:$G$33,$H$2:$H$33, Table9[[#This Row],[admin_name]])</f>
        <v>Silesian</v>
      </c>
    </row>
    <row r="782" spans="1:11" x14ac:dyDescent="0.55000000000000004">
      <c r="A782" t="s">
        <v>922</v>
      </c>
      <c r="B782" t="s">
        <v>579</v>
      </c>
      <c r="C782" t="s">
        <v>939</v>
      </c>
      <c r="K782" t="str">
        <f>_xlfn.XLOOKUP(Table9[[#This Row],[admin_name]],$G$2:$G$33,$H$2:$H$33, Table9[[#This Row],[admin_name]])</f>
        <v>Łódź</v>
      </c>
    </row>
    <row r="783" spans="1:11" x14ac:dyDescent="0.55000000000000004">
      <c r="A783" t="s">
        <v>923</v>
      </c>
      <c r="B783" t="s">
        <v>941</v>
      </c>
      <c r="C783" t="s">
        <v>939</v>
      </c>
      <c r="K783" t="str">
        <f>_xlfn.XLOOKUP(Table9[[#This Row],[admin_name]],$G$2:$G$33,$H$2:$H$33, Table9[[#This Row],[admin_name]])</f>
        <v>Lesser Poland</v>
      </c>
    </row>
    <row r="784" spans="1:11" x14ac:dyDescent="0.55000000000000004">
      <c r="A784" t="s">
        <v>924</v>
      </c>
      <c r="B784" t="s">
        <v>948</v>
      </c>
      <c r="C784" t="s">
        <v>939</v>
      </c>
      <c r="K784" t="str">
        <f>_xlfn.XLOOKUP(Table9[[#This Row],[admin_name]],$G$2:$G$33,$H$2:$H$33, Table9[[#This Row],[admin_name]])</f>
        <v>Silesian</v>
      </c>
    </row>
    <row r="785" spans="1:11" x14ac:dyDescent="0.55000000000000004">
      <c r="A785" t="s">
        <v>925</v>
      </c>
      <c r="B785" t="s">
        <v>962</v>
      </c>
      <c r="C785" t="s">
        <v>939</v>
      </c>
      <c r="K785" t="str">
        <f>_xlfn.XLOOKUP(Table9[[#This Row],[admin_name]],$G$2:$G$33,$H$2:$H$33, Table9[[#This Row],[admin_name]])</f>
        <v>Podlachian</v>
      </c>
    </row>
    <row r="786" spans="1:11" x14ac:dyDescent="0.55000000000000004">
      <c r="A786" t="s">
        <v>926</v>
      </c>
      <c r="B786" t="s">
        <v>961</v>
      </c>
      <c r="C786" t="s">
        <v>939</v>
      </c>
      <c r="K786" t="str">
        <f>_xlfn.XLOOKUP(Table9[[#This Row],[admin_name]],$G$2:$G$33,$H$2:$H$33, Table9[[#This Row],[admin_name]])</f>
        <v>Masovian</v>
      </c>
    </row>
    <row r="787" spans="1:11" x14ac:dyDescent="0.55000000000000004">
      <c r="A787" t="s">
        <v>927</v>
      </c>
      <c r="B787" t="s">
        <v>950</v>
      </c>
      <c r="C787" t="s">
        <v>939</v>
      </c>
      <c r="K787" t="str">
        <f>_xlfn.XLOOKUP(Table9[[#This Row],[admin_name]],$G$2:$G$33,$H$2:$H$33, Table9[[#This Row],[admin_name]])</f>
        <v>Warmian-Masurian</v>
      </c>
    </row>
    <row r="788" spans="1:11" x14ac:dyDescent="0.55000000000000004">
      <c r="A788" t="s">
        <v>928</v>
      </c>
      <c r="B788" t="s">
        <v>941</v>
      </c>
      <c r="C788" t="s">
        <v>939</v>
      </c>
      <c r="K788" t="str">
        <f>_xlfn.XLOOKUP(Table9[[#This Row],[admin_name]],$G$2:$G$33,$H$2:$H$33, Table9[[#This Row],[admin_name]])</f>
        <v>Lesser Poland</v>
      </c>
    </row>
    <row r="789" spans="1:11" x14ac:dyDescent="0.55000000000000004">
      <c r="A789" t="s">
        <v>929</v>
      </c>
      <c r="B789" t="s">
        <v>941</v>
      </c>
      <c r="C789" t="s">
        <v>939</v>
      </c>
      <c r="K789" t="str">
        <f>_xlfn.XLOOKUP(Table9[[#This Row],[admin_name]],$G$2:$G$33,$H$2:$H$33, Table9[[#This Row],[admin_name]])</f>
        <v>Lesser Poland</v>
      </c>
    </row>
    <row r="790" spans="1:11" x14ac:dyDescent="0.55000000000000004">
      <c r="A790" t="s">
        <v>930</v>
      </c>
      <c r="B790" t="s">
        <v>941</v>
      </c>
      <c r="C790" t="s">
        <v>939</v>
      </c>
      <c r="K790" t="str">
        <f>_xlfn.XLOOKUP(Table9[[#This Row],[admin_name]],$G$2:$G$33,$H$2:$H$33, Table9[[#This Row],[admin_name]])</f>
        <v>Lesser Poland</v>
      </c>
    </row>
    <row r="791" spans="1:11" x14ac:dyDescent="0.55000000000000004">
      <c r="A791" t="s">
        <v>931</v>
      </c>
      <c r="B791" t="s">
        <v>579</v>
      </c>
      <c r="C791" t="s">
        <v>939</v>
      </c>
      <c r="K791" t="str">
        <f>_xlfn.XLOOKUP(Table9[[#This Row],[admin_name]],$G$2:$G$33,$H$2:$H$33, Table9[[#This Row],[admin_name]])</f>
        <v>Łódź</v>
      </c>
    </row>
    <row r="792" spans="1:11" x14ac:dyDescent="0.55000000000000004">
      <c r="A792" t="s">
        <v>932</v>
      </c>
      <c r="B792" t="s">
        <v>941</v>
      </c>
      <c r="C792" t="s">
        <v>939</v>
      </c>
      <c r="K792" t="str">
        <f>_xlfn.XLOOKUP(Table9[[#This Row],[admin_name]],$G$2:$G$33,$H$2:$H$33, Table9[[#This Row],[admin_name]])</f>
        <v>Lesser Poland</v>
      </c>
    </row>
    <row r="793" spans="1:11" x14ac:dyDescent="0.55000000000000004">
      <c r="A793" t="s">
        <v>933</v>
      </c>
      <c r="B793" t="s">
        <v>948</v>
      </c>
      <c r="C793" t="s">
        <v>939</v>
      </c>
      <c r="K793" t="str">
        <f>_xlfn.XLOOKUP(Table9[[#This Row],[admin_name]],$G$2:$G$33,$H$2:$H$33, Table9[[#This Row],[admin_name]])</f>
        <v>Silesian</v>
      </c>
    </row>
    <row r="794" spans="1:11" x14ac:dyDescent="0.55000000000000004">
      <c r="A794" t="s">
        <v>934</v>
      </c>
      <c r="B794" t="s">
        <v>951</v>
      </c>
      <c r="C794" t="s">
        <v>939</v>
      </c>
      <c r="K794" t="str">
        <f>_xlfn.XLOOKUP(Table9[[#This Row],[admin_name]],$G$2:$G$33,$H$2:$H$33, Table9[[#This Row],[admin_name]])</f>
        <v>Subcarpathian</v>
      </c>
    </row>
    <row r="795" spans="1:11" x14ac:dyDescent="0.55000000000000004">
      <c r="A795" t="s">
        <v>935</v>
      </c>
      <c r="B795" t="s">
        <v>941</v>
      </c>
      <c r="C795" t="s">
        <v>939</v>
      </c>
      <c r="K795" t="str">
        <f>_xlfn.XLOOKUP(Table9[[#This Row],[admin_name]],$G$2:$G$33,$H$2:$H$33, Table9[[#This Row],[admin_name]])</f>
        <v>Lesser Poland</v>
      </c>
    </row>
    <row r="796" spans="1:11" x14ac:dyDescent="0.55000000000000004">
      <c r="A796" t="s">
        <v>936</v>
      </c>
      <c r="B796" t="s">
        <v>961</v>
      </c>
      <c r="C796" t="s">
        <v>939</v>
      </c>
      <c r="K796" t="str">
        <f>_xlfn.XLOOKUP(Table9[[#This Row],[admin_name]],$G$2:$G$33,$H$2:$H$33, Table9[[#This Row],[admin_name]])</f>
        <v>Masovian</v>
      </c>
    </row>
    <row r="797" spans="1:11" x14ac:dyDescent="0.55000000000000004">
      <c r="A797" t="s">
        <v>937</v>
      </c>
      <c r="B797" t="s">
        <v>950</v>
      </c>
      <c r="C797" t="s">
        <v>939</v>
      </c>
      <c r="K797" t="str">
        <f>_xlfn.XLOOKUP(Table9[[#This Row],[admin_name]],$G$2:$G$33,$H$2:$H$33, Table9[[#This Row],[admin_name]])</f>
        <v>Warmian-Masurian</v>
      </c>
    </row>
    <row r="798" spans="1:11" x14ac:dyDescent="0.55000000000000004">
      <c r="A798" t="s">
        <v>555</v>
      </c>
      <c r="B798" t="s">
        <v>946</v>
      </c>
      <c r="C798" t="s">
        <v>939</v>
      </c>
      <c r="K798" t="str">
        <f>_xlfn.XLOOKUP(Table9[[#This Row],[admin_name]],$G$2:$G$33,$H$2:$H$33, Table9[[#This Row],[admin_name]])</f>
        <v>Kuyavian-Pomeranian</v>
      </c>
    </row>
    <row r="799" spans="1:11" x14ac:dyDescent="0.55000000000000004">
      <c r="A799" t="s">
        <v>559</v>
      </c>
      <c r="B799" t="s">
        <v>950</v>
      </c>
      <c r="C799" t="s">
        <v>939</v>
      </c>
      <c r="K799" t="str">
        <f>_xlfn.XLOOKUP(Table9[[#This Row],[admin_name]],$G$2:$G$33,$H$2:$H$33, Table9[[#This Row],[admin_name]])</f>
        <v>Warmian-Masurian</v>
      </c>
    </row>
    <row r="800" spans="1:11" x14ac:dyDescent="0.55000000000000004">
      <c r="A800" t="s">
        <v>561</v>
      </c>
      <c r="B800" t="s">
        <v>961</v>
      </c>
      <c r="C800" t="s">
        <v>939</v>
      </c>
      <c r="K800" t="str">
        <f>_xlfn.XLOOKUP(Table9[[#This Row],[admin_name]],$G$2:$G$33,$H$2:$H$33, Table9[[#This Row],[admin_name]])</f>
        <v>Masovian</v>
      </c>
    </row>
    <row r="801" spans="1:11" x14ac:dyDescent="0.55000000000000004">
      <c r="A801" t="s">
        <v>562</v>
      </c>
      <c r="B801" t="s">
        <v>950</v>
      </c>
      <c r="C801" t="s">
        <v>939</v>
      </c>
      <c r="K801" t="str">
        <f>_xlfn.XLOOKUP(Table9[[#This Row],[admin_name]],$G$2:$G$33,$H$2:$H$33, Table9[[#This Row],[admin_name]])</f>
        <v>Warmian-Masurian</v>
      </c>
    </row>
    <row r="802" spans="1:11" x14ac:dyDescent="0.55000000000000004">
      <c r="A802" t="s">
        <v>564</v>
      </c>
      <c r="B802" t="s">
        <v>949</v>
      </c>
      <c r="C802" t="s">
        <v>939</v>
      </c>
      <c r="K802" t="str">
        <f>_xlfn.XLOOKUP(Table9[[#This Row],[admin_name]],$G$2:$G$33,$H$2:$H$33, Table9[[#This Row],[admin_name]])</f>
        <v>Lubusz</v>
      </c>
    </row>
    <row r="803" spans="1:11" x14ac:dyDescent="0.55000000000000004">
      <c r="A803" t="s">
        <v>565</v>
      </c>
      <c r="B803" t="s">
        <v>961</v>
      </c>
      <c r="C803" t="s">
        <v>939</v>
      </c>
      <c r="K803" t="str">
        <f>_xlfn.XLOOKUP(Table9[[#This Row],[admin_name]],$G$2:$G$33,$H$2:$H$33, Table9[[#This Row],[admin_name]])</f>
        <v>Masovian</v>
      </c>
    </row>
    <row r="804" spans="1:11" x14ac:dyDescent="0.55000000000000004">
      <c r="A804" t="s">
        <v>568</v>
      </c>
      <c r="B804" t="s">
        <v>948</v>
      </c>
      <c r="C804" t="s">
        <v>939</v>
      </c>
      <c r="K804" t="str">
        <f>_xlfn.XLOOKUP(Table9[[#This Row],[admin_name]],$G$2:$G$33,$H$2:$H$33, Table9[[#This Row],[admin_name]])</f>
        <v>Silesian</v>
      </c>
    </row>
    <row r="805" spans="1:11" x14ac:dyDescent="0.55000000000000004">
      <c r="A805" t="s">
        <v>569</v>
      </c>
      <c r="B805" t="s">
        <v>948</v>
      </c>
      <c r="C805" t="s">
        <v>939</v>
      </c>
      <c r="K805" t="str">
        <f>_xlfn.XLOOKUP(Table9[[#This Row],[admin_name]],$G$2:$G$33,$H$2:$H$33, Table9[[#This Row],[admin_name]])</f>
        <v>Silesian</v>
      </c>
    </row>
    <row r="806" spans="1:11" x14ac:dyDescent="0.55000000000000004">
      <c r="A806" t="s">
        <v>571</v>
      </c>
      <c r="B806" t="s">
        <v>942</v>
      </c>
      <c r="C806" t="s">
        <v>939</v>
      </c>
      <c r="K806" t="str">
        <f>_xlfn.XLOOKUP(Table9[[#This Row],[admin_name]],$G$2:$G$33,$H$2:$H$33, Table9[[#This Row],[admin_name]])</f>
        <v>Lower Silesian</v>
      </c>
    </row>
    <row r="807" spans="1:11" x14ac:dyDescent="0.55000000000000004">
      <c r="A807" t="s">
        <v>573</v>
      </c>
      <c r="B807" t="s">
        <v>950</v>
      </c>
      <c r="C807" t="s">
        <v>939</v>
      </c>
      <c r="K807" t="str">
        <f>_xlfn.XLOOKUP(Table9[[#This Row],[admin_name]],$G$2:$G$33,$H$2:$H$33, Table9[[#This Row],[admin_name]])</f>
        <v>Warmian-Masurian</v>
      </c>
    </row>
    <row r="808" spans="1:11" x14ac:dyDescent="0.55000000000000004">
      <c r="A808" t="s">
        <v>575</v>
      </c>
      <c r="B808" t="s">
        <v>944</v>
      </c>
      <c r="C808" t="s">
        <v>939</v>
      </c>
      <c r="K808" t="str">
        <f>_xlfn.XLOOKUP(Table9[[#This Row],[admin_name]],$G$2:$G$33,$H$2:$H$33, Table9[[#This Row],[admin_name]])</f>
        <v>Pomeranian</v>
      </c>
    </row>
    <row r="809" spans="1:11" x14ac:dyDescent="0.55000000000000004">
      <c r="A809" t="s">
        <v>581</v>
      </c>
      <c r="B809" t="s">
        <v>951</v>
      </c>
      <c r="C809" t="s">
        <v>939</v>
      </c>
      <c r="K809" t="str">
        <f>_xlfn.XLOOKUP(Table9[[#This Row],[admin_name]],$G$2:$G$33,$H$2:$H$33, Table9[[#This Row],[admin_name]])</f>
        <v>Subcarpathian</v>
      </c>
    </row>
    <row r="810" spans="1:11" x14ac:dyDescent="0.55000000000000004">
      <c r="A810" t="s">
        <v>583</v>
      </c>
      <c r="B810" t="s">
        <v>626</v>
      </c>
      <c r="C810" t="s">
        <v>939</v>
      </c>
      <c r="K810" t="str">
        <f>_xlfn.XLOOKUP(Table9[[#This Row],[admin_name]],$G$2:$G$33,$H$2:$H$33, Table9[[#This Row],[admin_name]])</f>
        <v>Opole</v>
      </c>
    </row>
    <row r="811" spans="1:11" x14ac:dyDescent="0.55000000000000004">
      <c r="A811" t="s">
        <v>585</v>
      </c>
      <c r="B811" t="s">
        <v>941</v>
      </c>
      <c r="C811" t="s">
        <v>939</v>
      </c>
      <c r="K811" t="str">
        <f>_xlfn.XLOOKUP(Table9[[#This Row],[admin_name]],$G$2:$G$33,$H$2:$H$33, Table9[[#This Row],[admin_name]])</f>
        <v>Lesser Poland</v>
      </c>
    </row>
    <row r="812" spans="1:11" x14ac:dyDescent="0.55000000000000004">
      <c r="A812" t="s">
        <v>586</v>
      </c>
      <c r="B812" t="s">
        <v>961</v>
      </c>
      <c r="C812" t="s">
        <v>939</v>
      </c>
      <c r="K812" t="str">
        <f>_xlfn.XLOOKUP(Table9[[#This Row],[admin_name]],$G$2:$G$33,$H$2:$H$33, Table9[[#This Row],[admin_name]])</f>
        <v>Masovian</v>
      </c>
    </row>
    <row r="813" spans="1:11" x14ac:dyDescent="0.55000000000000004">
      <c r="A813" t="s">
        <v>588</v>
      </c>
      <c r="B813" t="s">
        <v>945</v>
      </c>
      <c r="C813" t="s">
        <v>939</v>
      </c>
      <c r="K813" t="str">
        <f>_xlfn.XLOOKUP(Table9[[#This Row],[admin_name]],$G$2:$G$33,$H$2:$H$33, Table9[[#This Row],[admin_name]])</f>
        <v>West Pomeranian</v>
      </c>
    </row>
    <row r="814" spans="1:11" x14ac:dyDescent="0.55000000000000004">
      <c r="A814" t="s">
        <v>589</v>
      </c>
      <c r="B814" t="s">
        <v>941</v>
      </c>
      <c r="C814" t="s">
        <v>939</v>
      </c>
      <c r="K814" t="str">
        <f>_xlfn.XLOOKUP(Table9[[#This Row],[admin_name]],$G$2:$G$33,$H$2:$H$33, Table9[[#This Row],[admin_name]])</f>
        <v>Lesser Poland</v>
      </c>
    </row>
    <row r="815" spans="1:11" x14ac:dyDescent="0.55000000000000004">
      <c r="A815" t="s">
        <v>595</v>
      </c>
      <c r="B815" t="s">
        <v>946</v>
      </c>
      <c r="C815" t="s">
        <v>939</v>
      </c>
      <c r="K815" t="str">
        <f>_xlfn.XLOOKUP(Table9[[#This Row],[admin_name]],$G$2:$G$33,$H$2:$H$33, Table9[[#This Row],[admin_name]])</f>
        <v>Kuyavian-Pomeranian</v>
      </c>
    </row>
    <row r="816" spans="1:11" x14ac:dyDescent="0.55000000000000004">
      <c r="A816" t="s">
        <v>596</v>
      </c>
      <c r="B816" t="s">
        <v>942</v>
      </c>
      <c r="C816" t="s">
        <v>939</v>
      </c>
      <c r="K816" t="str">
        <f>_xlfn.XLOOKUP(Table9[[#This Row],[admin_name]],$G$2:$G$33,$H$2:$H$33, Table9[[#This Row],[admin_name]])</f>
        <v>Lower Silesian</v>
      </c>
    </row>
    <row r="817" spans="1:11" x14ac:dyDescent="0.55000000000000004">
      <c r="A817" t="s">
        <v>597</v>
      </c>
      <c r="B817" t="s">
        <v>944</v>
      </c>
      <c r="C817" t="s">
        <v>939</v>
      </c>
      <c r="K817" t="str">
        <f>_xlfn.XLOOKUP(Table9[[#This Row],[admin_name]],$G$2:$G$33,$H$2:$H$33, Table9[[#This Row],[admin_name]])</f>
        <v>Pomeranian</v>
      </c>
    </row>
    <row r="818" spans="1:11" x14ac:dyDescent="0.55000000000000004">
      <c r="A818" t="s">
        <v>599</v>
      </c>
      <c r="B818" t="s">
        <v>946</v>
      </c>
      <c r="C818" t="s">
        <v>939</v>
      </c>
      <c r="K818" t="str">
        <f>_xlfn.XLOOKUP(Table9[[#This Row],[admin_name]],$G$2:$G$33,$H$2:$H$33, Table9[[#This Row],[admin_name]])</f>
        <v>Kuyavian-Pomeranian</v>
      </c>
    </row>
    <row r="819" spans="1:11" x14ac:dyDescent="0.55000000000000004">
      <c r="A819" t="s">
        <v>602</v>
      </c>
      <c r="B819" t="s">
        <v>554</v>
      </c>
      <c r="C819" t="s">
        <v>939</v>
      </c>
      <c r="K819" t="str">
        <f>_xlfn.XLOOKUP(Table9[[#This Row],[admin_name]],$G$2:$G$33,$H$2:$H$33, Table9[[#This Row],[admin_name]])</f>
        <v>Lublin</v>
      </c>
    </row>
    <row r="820" spans="1:11" x14ac:dyDescent="0.55000000000000004">
      <c r="A820" t="s">
        <v>603</v>
      </c>
      <c r="B820" t="s">
        <v>945</v>
      </c>
      <c r="C820" t="s">
        <v>939</v>
      </c>
      <c r="K820" t="str">
        <f>_xlfn.XLOOKUP(Table9[[#This Row],[admin_name]],$G$2:$G$33,$H$2:$H$33, Table9[[#This Row],[admin_name]])</f>
        <v>West Pomeranian</v>
      </c>
    </row>
    <row r="821" spans="1:11" x14ac:dyDescent="0.55000000000000004">
      <c r="A821" t="s">
        <v>605</v>
      </c>
      <c r="B821" t="s">
        <v>946</v>
      </c>
      <c r="C821" t="s">
        <v>939</v>
      </c>
      <c r="K821" t="str">
        <f>_xlfn.XLOOKUP(Table9[[#This Row],[admin_name]],$G$2:$G$33,$H$2:$H$33, Table9[[#This Row],[admin_name]])</f>
        <v>Kuyavian-Pomeranian</v>
      </c>
    </row>
    <row r="822" spans="1:11" x14ac:dyDescent="0.55000000000000004">
      <c r="A822" t="s">
        <v>606</v>
      </c>
      <c r="B822" t="s">
        <v>945</v>
      </c>
      <c r="C822" t="s">
        <v>939</v>
      </c>
      <c r="K822" t="str">
        <f>_xlfn.XLOOKUP(Table9[[#This Row],[admin_name]],$G$2:$G$33,$H$2:$H$33, Table9[[#This Row],[admin_name]])</f>
        <v>West Pomeranian</v>
      </c>
    </row>
    <row r="823" spans="1:11" x14ac:dyDescent="0.55000000000000004">
      <c r="A823" t="s">
        <v>607</v>
      </c>
      <c r="B823" t="s">
        <v>841</v>
      </c>
      <c r="C823" t="s">
        <v>939</v>
      </c>
      <c r="K823" t="str">
        <f>_xlfn.XLOOKUP(Table9[[#This Row],[admin_name]],$G$2:$G$33,$H$2:$H$33, Table9[[#This Row],[admin_name]])</f>
        <v>Świętokrzyskie</v>
      </c>
    </row>
    <row r="824" spans="1:11" x14ac:dyDescent="0.55000000000000004">
      <c r="A824" t="s">
        <v>608</v>
      </c>
      <c r="B824" t="s">
        <v>945</v>
      </c>
      <c r="C824" t="s">
        <v>939</v>
      </c>
      <c r="K824" t="str">
        <f>_xlfn.XLOOKUP(Table9[[#This Row],[admin_name]],$G$2:$G$33,$H$2:$H$33, Table9[[#This Row],[admin_name]])</f>
        <v>West Pomeranian</v>
      </c>
    </row>
    <row r="825" spans="1:11" x14ac:dyDescent="0.55000000000000004">
      <c r="A825" t="s">
        <v>609</v>
      </c>
      <c r="B825" t="s">
        <v>951</v>
      </c>
      <c r="C825" t="s">
        <v>939</v>
      </c>
      <c r="K825" t="str">
        <f>_xlfn.XLOOKUP(Table9[[#This Row],[admin_name]],$G$2:$G$33,$H$2:$H$33, Table9[[#This Row],[admin_name]])</f>
        <v>Subcarpathian</v>
      </c>
    </row>
    <row r="826" spans="1:11" x14ac:dyDescent="0.55000000000000004">
      <c r="A826" t="s">
        <v>610</v>
      </c>
      <c r="B826" t="s">
        <v>950</v>
      </c>
      <c r="C826" t="s">
        <v>939</v>
      </c>
      <c r="K826" t="str">
        <f>_xlfn.XLOOKUP(Table9[[#This Row],[admin_name]],$G$2:$G$33,$H$2:$H$33, Table9[[#This Row],[admin_name]])</f>
        <v>Warmian-Masurian</v>
      </c>
    </row>
    <row r="827" spans="1:11" x14ac:dyDescent="0.55000000000000004">
      <c r="A827" t="s">
        <v>612</v>
      </c>
      <c r="B827" t="s">
        <v>942</v>
      </c>
      <c r="C827" t="s">
        <v>939</v>
      </c>
      <c r="K827" t="str">
        <f>_xlfn.XLOOKUP(Table9[[#This Row],[admin_name]],$G$2:$G$33,$H$2:$H$33, Table9[[#This Row],[admin_name]])</f>
        <v>Lower Silesian</v>
      </c>
    </row>
    <row r="828" spans="1:11" x14ac:dyDescent="0.55000000000000004">
      <c r="A828" t="s">
        <v>613</v>
      </c>
      <c r="B828" t="s">
        <v>626</v>
      </c>
      <c r="C828" t="s">
        <v>939</v>
      </c>
      <c r="K828" t="str">
        <f>_xlfn.XLOOKUP(Table9[[#This Row],[admin_name]],$G$2:$G$33,$H$2:$H$33, Table9[[#This Row],[admin_name]])</f>
        <v>Opole</v>
      </c>
    </row>
    <row r="829" spans="1:11" x14ac:dyDescent="0.55000000000000004">
      <c r="A829" t="s">
        <v>615</v>
      </c>
      <c r="B829" t="s">
        <v>579</v>
      </c>
      <c r="C829" t="s">
        <v>939</v>
      </c>
      <c r="K829" t="str">
        <f>_xlfn.XLOOKUP(Table9[[#This Row],[admin_name]],$G$2:$G$33,$H$2:$H$33, Table9[[#This Row],[admin_name]])</f>
        <v>Łódź</v>
      </c>
    </row>
    <row r="830" spans="1:11" x14ac:dyDescent="0.55000000000000004">
      <c r="A830" t="s">
        <v>619</v>
      </c>
      <c r="B830" t="s">
        <v>961</v>
      </c>
      <c r="C830" t="s">
        <v>939</v>
      </c>
      <c r="K830" t="str">
        <f>_xlfn.XLOOKUP(Table9[[#This Row],[admin_name]],$G$2:$G$33,$H$2:$H$33, Table9[[#This Row],[admin_name]])</f>
        <v>Masovian</v>
      </c>
    </row>
    <row r="831" spans="1:11" x14ac:dyDescent="0.55000000000000004">
      <c r="A831" t="s">
        <v>621</v>
      </c>
      <c r="B831" t="s">
        <v>961</v>
      </c>
      <c r="C831" t="s">
        <v>939</v>
      </c>
      <c r="K831" t="str">
        <f>_xlfn.XLOOKUP(Table9[[#This Row],[admin_name]],$G$2:$G$33,$H$2:$H$33, Table9[[#This Row],[admin_name]])</f>
        <v>Masovian</v>
      </c>
    </row>
    <row r="832" spans="1:11" x14ac:dyDescent="0.55000000000000004">
      <c r="A832" t="s">
        <v>623</v>
      </c>
      <c r="B832" t="s">
        <v>961</v>
      </c>
      <c r="C832" t="s">
        <v>939</v>
      </c>
      <c r="K832" t="str">
        <f>_xlfn.XLOOKUP(Table9[[#This Row],[admin_name]],$G$2:$G$33,$H$2:$H$33, Table9[[#This Row],[admin_name]])</f>
        <v>Masovian</v>
      </c>
    </row>
    <row r="833" spans="1:11" x14ac:dyDescent="0.55000000000000004">
      <c r="A833" t="s">
        <v>624</v>
      </c>
      <c r="B833" t="s">
        <v>950</v>
      </c>
      <c r="C833" t="s">
        <v>939</v>
      </c>
      <c r="K833" t="str">
        <f>_xlfn.XLOOKUP(Table9[[#This Row],[admin_name]],$G$2:$G$33,$H$2:$H$33, Table9[[#This Row],[admin_name]])</f>
        <v>Warmian-Masurian</v>
      </c>
    </row>
    <row r="834" spans="1:11" x14ac:dyDescent="0.55000000000000004">
      <c r="A834" t="s">
        <v>625</v>
      </c>
      <c r="B834" t="s">
        <v>579</v>
      </c>
      <c r="C834" t="s">
        <v>939</v>
      </c>
      <c r="K834" t="str">
        <f>_xlfn.XLOOKUP(Table9[[#This Row],[admin_name]],$G$2:$G$33,$H$2:$H$33, Table9[[#This Row],[admin_name]])</f>
        <v>Łódź</v>
      </c>
    </row>
    <row r="835" spans="1:11" x14ac:dyDescent="0.55000000000000004">
      <c r="A835" t="s">
        <v>627</v>
      </c>
      <c r="B835" t="s">
        <v>554</v>
      </c>
      <c r="C835" t="s">
        <v>939</v>
      </c>
      <c r="K835" t="str">
        <f>_xlfn.XLOOKUP(Table9[[#This Row],[admin_name]],$G$2:$G$33,$H$2:$H$33, Table9[[#This Row],[admin_name]])</f>
        <v>Lublin</v>
      </c>
    </row>
    <row r="836" spans="1:11" x14ac:dyDescent="0.55000000000000004">
      <c r="A836" t="s">
        <v>628</v>
      </c>
      <c r="B836" t="s">
        <v>943</v>
      </c>
      <c r="C836" t="s">
        <v>939</v>
      </c>
      <c r="K836" t="str">
        <f>_xlfn.XLOOKUP(Table9[[#This Row],[admin_name]],$G$2:$G$33,$H$2:$H$33, Table9[[#This Row],[admin_name]])</f>
        <v>Greater Poland</v>
      </c>
    </row>
    <row r="837" spans="1:11" x14ac:dyDescent="0.55000000000000004">
      <c r="A837" t="s">
        <v>632</v>
      </c>
      <c r="B837" t="s">
        <v>949</v>
      </c>
      <c r="C837" t="s">
        <v>939</v>
      </c>
      <c r="K837" t="str">
        <f>_xlfn.XLOOKUP(Table9[[#This Row],[admin_name]],$G$2:$G$33,$H$2:$H$33, Table9[[#This Row],[admin_name]])</f>
        <v>Lubusz</v>
      </c>
    </row>
    <row r="838" spans="1:11" x14ac:dyDescent="0.55000000000000004">
      <c r="A838" t="s">
        <v>634</v>
      </c>
      <c r="B838" t="s">
        <v>626</v>
      </c>
      <c r="C838" t="s">
        <v>939</v>
      </c>
      <c r="K838" t="str">
        <f>_xlfn.XLOOKUP(Table9[[#This Row],[admin_name]],$G$2:$G$33,$H$2:$H$33, Table9[[#This Row],[admin_name]])</f>
        <v>Opole</v>
      </c>
    </row>
    <row r="839" spans="1:11" x14ac:dyDescent="0.55000000000000004">
      <c r="A839" t="s">
        <v>636</v>
      </c>
      <c r="B839" t="s">
        <v>942</v>
      </c>
      <c r="C839" t="s">
        <v>939</v>
      </c>
      <c r="K839" t="str">
        <f>_xlfn.XLOOKUP(Table9[[#This Row],[admin_name]],$G$2:$G$33,$H$2:$H$33, Table9[[#This Row],[admin_name]])</f>
        <v>Lower Silesian</v>
      </c>
    </row>
    <row r="840" spans="1:11" x14ac:dyDescent="0.55000000000000004">
      <c r="A840" t="s">
        <v>637</v>
      </c>
      <c r="B840" t="s">
        <v>579</v>
      </c>
      <c r="C840" t="s">
        <v>939</v>
      </c>
      <c r="K840" t="str">
        <f>_xlfn.XLOOKUP(Table9[[#This Row],[admin_name]],$G$2:$G$33,$H$2:$H$33, Table9[[#This Row],[admin_name]])</f>
        <v>Łódź</v>
      </c>
    </row>
    <row r="841" spans="1:11" x14ac:dyDescent="0.55000000000000004">
      <c r="A841" t="s">
        <v>638</v>
      </c>
      <c r="B841" t="s">
        <v>951</v>
      </c>
      <c r="C841" t="s">
        <v>939</v>
      </c>
      <c r="K841" t="str">
        <f>_xlfn.XLOOKUP(Table9[[#This Row],[admin_name]],$G$2:$G$33,$H$2:$H$33, Table9[[#This Row],[admin_name]])</f>
        <v>Subcarpathian</v>
      </c>
    </row>
    <row r="842" spans="1:11" x14ac:dyDescent="0.55000000000000004">
      <c r="A842" t="s">
        <v>639</v>
      </c>
      <c r="B842" t="s">
        <v>951</v>
      </c>
      <c r="C842" t="s">
        <v>939</v>
      </c>
      <c r="K842" t="str">
        <f>_xlfn.XLOOKUP(Table9[[#This Row],[admin_name]],$G$2:$G$33,$H$2:$H$33, Table9[[#This Row],[admin_name]])</f>
        <v>Subcarpathian</v>
      </c>
    </row>
    <row r="843" spans="1:11" x14ac:dyDescent="0.55000000000000004">
      <c r="A843" t="s">
        <v>641</v>
      </c>
      <c r="B843" t="s">
        <v>579</v>
      </c>
      <c r="C843" t="s">
        <v>939</v>
      </c>
      <c r="K843" t="str">
        <f>_xlfn.XLOOKUP(Table9[[#This Row],[admin_name]],$G$2:$G$33,$H$2:$H$33, Table9[[#This Row],[admin_name]])</f>
        <v>Łódź</v>
      </c>
    </row>
    <row r="844" spans="1:11" x14ac:dyDescent="0.55000000000000004">
      <c r="A844" t="s">
        <v>642</v>
      </c>
      <c r="B844" t="s">
        <v>945</v>
      </c>
      <c r="C844" t="s">
        <v>939</v>
      </c>
      <c r="K844" t="str">
        <f>_xlfn.XLOOKUP(Table9[[#This Row],[admin_name]],$G$2:$G$33,$H$2:$H$33, Table9[[#This Row],[admin_name]])</f>
        <v>West Pomeranian</v>
      </c>
    </row>
    <row r="845" spans="1:11" x14ac:dyDescent="0.55000000000000004">
      <c r="A845" t="s">
        <v>644</v>
      </c>
      <c r="B845" t="s">
        <v>942</v>
      </c>
      <c r="C845" t="s">
        <v>939</v>
      </c>
      <c r="K845" t="str">
        <f>_xlfn.XLOOKUP(Table9[[#This Row],[admin_name]],$G$2:$G$33,$H$2:$H$33, Table9[[#This Row],[admin_name]])</f>
        <v>Lower Silesian</v>
      </c>
    </row>
    <row r="846" spans="1:11" x14ac:dyDescent="0.55000000000000004">
      <c r="A846" t="s">
        <v>645</v>
      </c>
      <c r="B846" t="s">
        <v>962</v>
      </c>
      <c r="C846" t="s">
        <v>939</v>
      </c>
      <c r="K846" t="str">
        <f>_xlfn.XLOOKUP(Table9[[#This Row],[admin_name]],$G$2:$G$33,$H$2:$H$33, Table9[[#This Row],[admin_name]])</f>
        <v>Podlachian</v>
      </c>
    </row>
    <row r="847" spans="1:11" x14ac:dyDescent="0.55000000000000004">
      <c r="A847" t="s">
        <v>646</v>
      </c>
      <c r="B847" t="s">
        <v>944</v>
      </c>
      <c r="C847" t="s">
        <v>939</v>
      </c>
      <c r="K847" t="str">
        <f>_xlfn.XLOOKUP(Table9[[#This Row],[admin_name]],$G$2:$G$33,$H$2:$H$33, Table9[[#This Row],[admin_name]])</f>
        <v>Pomeranian</v>
      </c>
    </row>
    <row r="848" spans="1:11" x14ac:dyDescent="0.55000000000000004">
      <c r="A848" t="s">
        <v>648</v>
      </c>
      <c r="B848" t="s">
        <v>942</v>
      </c>
      <c r="C848" t="s">
        <v>939</v>
      </c>
      <c r="K848" t="str">
        <f>_xlfn.XLOOKUP(Table9[[#This Row],[admin_name]],$G$2:$G$33,$H$2:$H$33, Table9[[#This Row],[admin_name]])</f>
        <v>Lower Silesian</v>
      </c>
    </row>
    <row r="849" spans="1:11" x14ac:dyDescent="0.55000000000000004">
      <c r="A849" t="s">
        <v>650</v>
      </c>
      <c r="B849" t="s">
        <v>554</v>
      </c>
      <c r="C849" t="s">
        <v>939</v>
      </c>
      <c r="K849" t="str">
        <f>_xlfn.XLOOKUP(Table9[[#This Row],[admin_name]],$G$2:$G$33,$H$2:$H$33, Table9[[#This Row],[admin_name]])</f>
        <v>Lublin</v>
      </c>
    </row>
    <row r="850" spans="1:11" x14ac:dyDescent="0.55000000000000004">
      <c r="A850" t="s">
        <v>651</v>
      </c>
      <c r="B850" t="s">
        <v>941</v>
      </c>
      <c r="C850" t="s">
        <v>939</v>
      </c>
      <c r="K850" t="str">
        <f>_xlfn.XLOOKUP(Table9[[#This Row],[admin_name]],$G$2:$G$33,$H$2:$H$33, Table9[[#This Row],[admin_name]])</f>
        <v>Lesser Poland</v>
      </c>
    </row>
    <row r="851" spans="1:11" x14ac:dyDescent="0.55000000000000004">
      <c r="A851" t="s">
        <v>652</v>
      </c>
      <c r="B851" t="s">
        <v>626</v>
      </c>
      <c r="C851" t="s">
        <v>939</v>
      </c>
      <c r="K851" t="str">
        <f>_xlfn.XLOOKUP(Table9[[#This Row],[admin_name]],$G$2:$G$33,$H$2:$H$33, Table9[[#This Row],[admin_name]])</f>
        <v>Opole</v>
      </c>
    </row>
    <row r="852" spans="1:11" x14ac:dyDescent="0.55000000000000004">
      <c r="A852" t="s">
        <v>656</v>
      </c>
      <c r="B852" t="s">
        <v>941</v>
      </c>
      <c r="C852" t="s">
        <v>939</v>
      </c>
      <c r="K852" t="str">
        <f>_xlfn.XLOOKUP(Table9[[#This Row],[admin_name]],$G$2:$G$33,$H$2:$H$33, Table9[[#This Row],[admin_name]])</f>
        <v>Lesser Poland</v>
      </c>
    </row>
    <row r="853" spans="1:11" x14ac:dyDescent="0.55000000000000004">
      <c r="A853" t="s">
        <v>659</v>
      </c>
      <c r="B853" t="s">
        <v>948</v>
      </c>
      <c r="C853" t="s">
        <v>939</v>
      </c>
      <c r="K853" t="str">
        <f>_xlfn.XLOOKUP(Table9[[#This Row],[admin_name]],$G$2:$G$33,$H$2:$H$33, Table9[[#This Row],[admin_name]])</f>
        <v>Silesian</v>
      </c>
    </row>
    <row r="854" spans="1:11" x14ac:dyDescent="0.55000000000000004">
      <c r="A854" t="s">
        <v>660</v>
      </c>
      <c r="B854" t="s">
        <v>941</v>
      </c>
      <c r="C854" t="s">
        <v>939</v>
      </c>
      <c r="K854" t="str">
        <f>_xlfn.XLOOKUP(Table9[[#This Row],[admin_name]],$G$2:$G$33,$H$2:$H$33, Table9[[#This Row],[admin_name]])</f>
        <v>Lesser Poland</v>
      </c>
    </row>
    <row r="855" spans="1:11" x14ac:dyDescent="0.55000000000000004">
      <c r="A855" t="s">
        <v>663</v>
      </c>
      <c r="B855" t="s">
        <v>948</v>
      </c>
      <c r="C855" t="s">
        <v>939</v>
      </c>
      <c r="K855" t="str">
        <f>_xlfn.XLOOKUP(Table9[[#This Row],[admin_name]],$G$2:$G$33,$H$2:$H$33, Table9[[#This Row],[admin_name]])</f>
        <v>Silesian</v>
      </c>
    </row>
    <row r="856" spans="1:11" x14ac:dyDescent="0.55000000000000004">
      <c r="A856" t="s">
        <v>664</v>
      </c>
      <c r="B856" t="s">
        <v>951</v>
      </c>
      <c r="C856" t="s">
        <v>939</v>
      </c>
      <c r="K856" t="str">
        <f>_xlfn.XLOOKUP(Table9[[#This Row],[admin_name]],$G$2:$G$33,$H$2:$H$33, Table9[[#This Row],[admin_name]])</f>
        <v>Subcarpathian</v>
      </c>
    </row>
    <row r="857" spans="1:11" x14ac:dyDescent="0.55000000000000004">
      <c r="A857" t="s">
        <v>665</v>
      </c>
      <c r="B857" t="s">
        <v>962</v>
      </c>
      <c r="C857" t="s">
        <v>939</v>
      </c>
      <c r="K857" t="str">
        <f>_xlfn.XLOOKUP(Table9[[#This Row],[admin_name]],$G$2:$G$33,$H$2:$H$33, Table9[[#This Row],[admin_name]])</f>
        <v>Podlachian</v>
      </c>
    </row>
    <row r="858" spans="1:11" x14ac:dyDescent="0.55000000000000004">
      <c r="A858" t="s">
        <v>670</v>
      </c>
      <c r="B858" t="s">
        <v>949</v>
      </c>
      <c r="C858" t="s">
        <v>939</v>
      </c>
      <c r="K858" t="str">
        <f>_xlfn.XLOOKUP(Table9[[#This Row],[admin_name]],$G$2:$G$33,$H$2:$H$33, Table9[[#This Row],[admin_name]])</f>
        <v>Lubusz</v>
      </c>
    </row>
    <row r="859" spans="1:11" x14ac:dyDescent="0.55000000000000004">
      <c r="A859" t="s">
        <v>673</v>
      </c>
      <c r="B859" t="s">
        <v>961</v>
      </c>
      <c r="C859" t="s">
        <v>939</v>
      </c>
      <c r="K859" t="str">
        <f>_xlfn.XLOOKUP(Table9[[#This Row],[admin_name]],$G$2:$G$33,$H$2:$H$33, Table9[[#This Row],[admin_name]])</f>
        <v>Masovian</v>
      </c>
    </row>
    <row r="860" spans="1:11" x14ac:dyDescent="0.55000000000000004">
      <c r="A860" t="s">
        <v>674</v>
      </c>
      <c r="B860" t="s">
        <v>626</v>
      </c>
      <c r="C860" t="s">
        <v>939</v>
      </c>
      <c r="K860" t="str">
        <f>_xlfn.XLOOKUP(Table9[[#This Row],[admin_name]],$G$2:$G$33,$H$2:$H$33, Table9[[#This Row],[admin_name]])</f>
        <v>Opole</v>
      </c>
    </row>
    <row r="861" spans="1:11" x14ac:dyDescent="0.55000000000000004">
      <c r="A861" t="s">
        <v>675</v>
      </c>
      <c r="B861" t="s">
        <v>962</v>
      </c>
      <c r="C861" t="s">
        <v>939</v>
      </c>
      <c r="K861" t="str">
        <f>_xlfn.XLOOKUP(Table9[[#This Row],[admin_name]],$G$2:$G$33,$H$2:$H$33, Table9[[#This Row],[admin_name]])</f>
        <v>Podlachian</v>
      </c>
    </row>
    <row r="862" spans="1:11" x14ac:dyDescent="0.55000000000000004">
      <c r="A862" t="s">
        <v>676</v>
      </c>
      <c r="B862" t="s">
        <v>949</v>
      </c>
      <c r="C862" t="s">
        <v>939</v>
      </c>
      <c r="K862" t="str">
        <f>_xlfn.XLOOKUP(Table9[[#This Row],[admin_name]],$G$2:$G$33,$H$2:$H$33, Table9[[#This Row],[admin_name]])</f>
        <v>Lubusz</v>
      </c>
    </row>
    <row r="863" spans="1:11" x14ac:dyDescent="0.55000000000000004">
      <c r="A863" t="s">
        <v>677</v>
      </c>
      <c r="B863" t="s">
        <v>941</v>
      </c>
      <c r="C863" t="s">
        <v>939</v>
      </c>
      <c r="K863" t="str">
        <f>_xlfn.XLOOKUP(Table9[[#This Row],[admin_name]],$G$2:$G$33,$H$2:$H$33, Table9[[#This Row],[admin_name]])</f>
        <v>Lesser Poland</v>
      </c>
    </row>
    <row r="864" spans="1:11" x14ac:dyDescent="0.55000000000000004">
      <c r="A864" t="s">
        <v>679</v>
      </c>
      <c r="B864" t="s">
        <v>948</v>
      </c>
      <c r="C864" t="s">
        <v>939</v>
      </c>
      <c r="K864" t="str">
        <f>_xlfn.XLOOKUP(Table9[[#This Row],[admin_name]],$G$2:$G$33,$H$2:$H$33, Table9[[#This Row],[admin_name]])</f>
        <v>Silesian</v>
      </c>
    </row>
    <row r="865" spans="1:11" x14ac:dyDescent="0.55000000000000004">
      <c r="A865" t="s">
        <v>681</v>
      </c>
      <c r="B865" t="s">
        <v>961</v>
      </c>
      <c r="C865" t="s">
        <v>939</v>
      </c>
      <c r="K865" t="str">
        <f>_xlfn.XLOOKUP(Table9[[#This Row],[admin_name]],$G$2:$G$33,$H$2:$H$33, Table9[[#This Row],[admin_name]])</f>
        <v>Masovian</v>
      </c>
    </row>
    <row r="866" spans="1:11" x14ac:dyDescent="0.55000000000000004">
      <c r="A866" t="s">
        <v>682</v>
      </c>
      <c r="B866" t="s">
        <v>942</v>
      </c>
      <c r="C866" t="s">
        <v>939</v>
      </c>
      <c r="K866" t="str">
        <f>_xlfn.XLOOKUP(Table9[[#This Row],[admin_name]],$G$2:$G$33,$H$2:$H$33, Table9[[#This Row],[admin_name]])</f>
        <v>Lower Silesian</v>
      </c>
    </row>
    <row r="867" spans="1:11" x14ac:dyDescent="0.55000000000000004">
      <c r="A867" t="s">
        <v>683</v>
      </c>
      <c r="B867" t="s">
        <v>942</v>
      </c>
      <c r="C867" t="s">
        <v>939</v>
      </c>
      <c r="K867" t="str">
        <f>_xlfn.XLOOKUP(Table9[[#This Row],[admin_name]],$G$2:$G$33,$H$2:$H$33, Table9[[#This Row],[admin_name]])</f>
        <v>Lower Silesian</v>
      </c>
    </row>
    <row r="868" spans="1:11" x14ac:dyDescent="0.55000000000000004">
      <c r="A868" t="s">
        <v>685</v>
      </c>
      <c r="B868" t="s">
        <v>841</v>
      </c>
      <c r="C868" t="s">
        <v>939</v>
      </c>
      <c r="K868" t="str">
        <f>_xlfn.XLOOKUP(Table9[[#This Row],[admin_name]],$G$2:$G$33,$H$2:$H$33, Table9[[#This Row],[admin_name]])</f>
        <v>Świętokrzyskie</v>
      </c>
    </row>
    <row r="869" spans="1:11" x14ac:dyDescent="0.55000000000000004">
      <c r="A869" t="s">
        <v>686</v>
      </c>
      <c r="B869" t="s">
        <v>946</v>
      </c>
      <c r="C869" t="s">
        <v>939</v>
      </c>
      <c r="K869" t="str">
        <f>_xlfn.XLOOKUP(Table9[[#This Row],[admin_name]],$G$2:$G$33,$H$2:$H$33, Table9[[#This Row],[admin_name]])</f>
        <v>Kuyavian-Pomeranian</v>
      </c>
    </row>
    <row r="870" spans="1:11" x14ac:dyDescent="0.55000000000000004">
      <c r="A870" t="s">
        <v>689</v>
      </c>
      <c r="B870" t="s">
        <v>554</v>
      </c>
      <c r="C870" t="s">
        <v>939</v>
      </c>
      <c r="K870" t="str">
        <f>_xlfn.XLOOKUP(Table9[[#This Row],[admin_name]],$G$2:$G$33,$H$2:$H$33, Table9[[#This Row],[admin_name]])</f>
        <v>Lublin</v>
      </c>
    </row>
    <row r="871" spans="1:11" x14ac:dyDescent="0.55000000000000004">
      <c r="A871" t="s">
        <v>690</v>
      </c>
      <c r="B871" t="s">
        <v>945</v>
      </c>
      <c r="C871" t="s">
        <v>939</v>
      </c>
      <c r="K871" t="str">
        <f>_xlfn.XLOOKUP(Table9[[#This Row],[admin_name]],$G$2:$G$33,$H$2:$H$33, Table9[[#This Row],[admin_name]])</f>
        <v>West Pomeranian</v>
      </c>
    </row>
    <row r="872" spans="1:11" x14ac:dyDescent="0.55000000000000004">
      <c r="A872" t="s">
        <v>693</v>
      </c>
      <c r="B872" t="s">
        <v>941</v>
      </c>
      <c r="C872" t="s">
        <v>939</v>
      </c>
      <c r="K872" t="str">
        <f>_xlfn.XLOOKUP(Table9[[#This Row],[admin_name]],$G$2:$G$33,$H$2:$H$33, Table9[[#This Row],[admin_name]])</f>
        <v>Lesser Poland</v>
      </c>
    </row>
    <row r="873" spans="1:11" x14ac:dyDescent="0.55000000000000004">
      <c r="A873" t="s">
        <v>694</v>
      </c>
      <c r="B873" t="s">
        <v>943</v>
      </c>
      <c r="C873" t="s">
        <v>939</v>
      </c>
      <c r="K873" t="str">
        <f>_xlfn.XLOOKUP(Table9[[#This Row],[admin_name]],$G$2:$G$33,$H$2:$H$33, Table9[[#This Row],[admin_name]])</f>
        <v>Greater Poland</v>
      </c>
    </row>
    <row r="874" spans="1:11" x14ac:dyDescent="0.55000000000000004">
      <c r="A874" t="s">
        <v>697</v>
      </c>
      <c r="B874" t="s">
        <v>950</v>
      </c>
      <c r="C874" t="s">
        <v>939</v>
      </c>
      <c r="K874" t="str">
        <f>_xlfn.XLOOKUP(Table9[[#This Row],[admin_name]],$G$2:$G$33,$H$2:$H$33, Table9[[#This Row],[admin_name]])</f>
        <v>Warmian-Masurian</v>
      </c>
    </row>
    <row r="875" spans="1:11" x14ac:dyDescent="0.55000000000000004">
      <c r="A875" t="s">
        <v>698</v>
      </c>
      <c r="B875" t="s">
        <v>944</v>
      </c>
      <c r="C875" t="s">
        <v>939</v>
      </c>
      <c r="K875" t="str">
        <f>_xlfn.XLOOKUP(Table9[[#This Row],[admin_name]],$G$2:$G$33,$H$2:$H$33, Table9[[#This Row],[admin_name]])</f>
        <v>Pomeranian</v>
      </c>
    </row>
    <row r="876" spans="1:11" x14ac:dyDescent="0.55000000000000004">
      <c r="A876" t="s">
        <v>699</v>
      </c>
      <c r="B876" t="s">
        <v>942</v>
      </c>
      <c r="C876" t="s">
        <v>939</v>
      </c>
      <c r="K876" t="str">
        <f>_xlfn.XLOOKUP(Table9[[#This Row],[admin_name]],$G$2:$G$33,$H$2:$H$33, Table9[[#This Row],[admin_name]])</f>
        <v>Lower Silesian</v>
      </c>
    </row>
    <row r="877" spans="1:11" x14ac:dyDescent="0.55000000000000004">
      <c r="A877" t="s">
        <v>701</v>
      </c>
      <c r="B877" t="s">
        <v>626</v>
      </c>
      <c r="C877" t="s">
        <v>939</v>
      </c>
      <c r="K877" t="str">
        <f>_xlfn.XLOOKUP(Table9[[#This Row],[admin_name]],$G$2:$G$33,$H$2:$H$33, Table9[[#This Row],[admin_name]])</f>
        <v>Opole</v>
      </c>
    </row>
    <row r="878" spans="1:11" x14ac:dyDescent="0.55000000000000004">
      <c r="A878" t="s">
        <v>703</v>
      </c>
      <c r="B878" t="s">
        <v>941</v>
      </c>
      <c r="C878" t="s">
        <v>939</v>
      </c>
      <c r="K878" t="str">
        <f>_xlfn.XLOOKUP(Table9[[#This Row],[admin_name]],$G$2:$G$33,$H$2:$H$33, Table9[[#This Row],[admin_name]])</f>
        <v>Lesser Poland</v>
      </c>
    </row>
    <row r="879" spans="1:11" x14ac:dyDescent="0.55000000000000004">
      <c r="A879" t="s">
        <v>704</v>
      </c>
      <c r="B879" t="s">
        <v>949</v>
      </c>
      <c r="C879" t="s">
        <v>939</v>
      </c>
      <c r="K879" t="str">
        <f>_xlfn.XLOOKUP(Table9[[#This Row],[admin_name]],$G$2:$G$33,$H$2:$H$33, Table9[[#This Row],[admin_name]])</f>
        <v>Lubusz</v>
      </c>
    </row>
    <row r="880" spans="1:11" x14ac:dyDescent="0.55000000000000004">
      <c r="A880" t="s">
        <v>706</v>
      </c>
      <c r="B880" t="s">
        <v>579</v>
      </c>
      <c r="C880" t="s">
        <v>939</v>
      </c>
      <c r="K880" t="str">
        <f>_xlfn.XLOOKUP(Table9[[#This Row],[admin_name]],$G$2:$G$33,$H$2:$H$33, Table9[[#This Row],[admin_name]])</f>
        <v>Łódź</v>
      </c>
    </row>
    <row r="881" spans="1:11" x14ac:dyDescent="0.55000000000000004">
      <c r="A881" t="s">
        <v>708</v>
      </c>
      <c r="B881" t="s">
        <v>945</v>
      </c>
      <c r="C881" t="s">
        <v>939</v>
      </c>
      <c r="K881" t="str">
        <f>_xlfn.XLOOKUP(Table9[[#This Row],[admin_name]],$G$2:$G$33,$H$2:$H$33, Table9[[#This Row],[admin_name]])</f>
        <v>West Pomeranian</v>
      </c>
    </row>
    <row r="882" spans="1:11" x14ac:dyDescent="0.55000000000000004">
      <c r="A882" t="s">
        <v>712</v>
      </c>
      <c r="B882" t="s">
        <v>961</v>
      </c>
      <c r="C882" t="s">
        <v>939</v>
      </c>
      <c r="K882" t="str">
        <f>_xlfn.XLOOKUP(Table9[[#This Row],[admin_name]],$G$2:$G$33,$H$2:$H$33, Table9[[#This Row],[admin_name]])</f>
        <v>Masovian</v>
      </c>
    </row>
    <row r="883" spans="1:11" x14ac:dyDescent="0.55000000000000004">
      <c r="A883" t="s">
        <v>716</v>
      </c>
      <c r="B883" t="s">
        <v>962</v>
      </c>
      <c r="C883" t="s">
        <v>939</v>
      </c>
      <c r="K883" t="str">
        <f>_xlfn.XLOOKUP(Table9[[#This Row],[admin_name]],$G$2:$G$33,$H$2:$H$33, Table9[[#This Row],[admin_name]])</f>
        <v>Podlachian</v>
      </c>
    </row>
    <row r="884" spans="1:11" x14ac:dyDescent="0.55000000000000004">
      <c r="A884" t="s">
        <v>721</v>
      </c>
      <c r="B884" t="s">
        <v>942</v>
      </c>
      <c r="C884" t="s">
        <v>939</v>
      </c>
      <c r="K884" t="str">
        <f>_xlfn.XLOOKUP(Table9[[#This Row],[admin_name]],$G$2:$G$33,$H$2:$H$33, Table9[[#This Row],[admin_name]])</f>
        <v>Lower Silesian</v>
      </c>
    </row>
    <row r="885" spans="1:11" x14ac:dyDescent="0.55000000000000004">
      <c r="A885" t="s">
        <v>723</v>
      </c>
      <c r="B885" t="s">
        <v>961</v>
      </c>
      <c r="C885" t="s">
        <v>939</v>
      </c>
      <c r="K885" t="str">
        <f>_xlfn.XLOOKUP(Table9[[#This Row],[admin_name]],$G$2:$G$33,$H$2:$H$33, Table9[[#This Row],[admin_name]])</f>
        <v>Masovian</v>
      </c>
    </row>
    <row r="886" spans="1:11" x14ac:dyDescent="0.55000000000000004">
      <c r="A886" t="s">
        <v>724</v>
      </c>
      <c r="B886" t="s">
        <v>943</v>
      </c>
      <c r="C886" t="s">
        <v>939</v>
      </c>
      <c r="K886" t="str">
        <f>_xlfn.XLOOKUP(Table9[[#This Row],[admin_name]],$G$2:$G$33,$H$2:$H$33, Table9[[#This Row],[admin_name]])</f>
        <v>Greater Poland</v>
      </c>
    </row>
    <row r="887" spans="1:11" x14ac:dyDescent="0.55000000000000004">
      <c r="A887" t="s">
        <v>725</v>
      </c>
      <c r="B887" t="s">
        <v>943</v>
      </c>
      <c r="C887" t="s">
        <v>939</v>
      </c>
      <c r="K887" t="str">
        <f>_xlfn.XLOOKUP(Table9[[#This Row],[admin_name]],$G$2:$G$33,$H$2:$H$33, Table9[[#This Row],[admin_name]])</f>
        <v>Greater Poland</v>
      </c>
    </row>
    <row r="888" spans="1:11" x14ac:dyDescent="0.55000000000000004">
      <c r="A888" t="s">
        <v>727</v>
      </c>
      <c r="B888" t="s">
        <v>942</v>
      </c>
      <c r="C888" t="s">
        <v>939</v>
      </c>
      <c r="K888" t="str">
        <f>_xlfn.XLOOKUP(Table9[[#This Row],[admin_name]],$G$2:$G$33,$H$2:$H$33, Table9[[#This Row],[admin_name]])</f>
        <v>Lower Silesian</v>
      </c>
    </row>
    <row r="889" spans="1:11" x14ac:dyDescent="0.55000000000000004">
      <c r="A889" t="s">
        <v>729</v>
      </c>
      <c r="B889" t="s">
        <v>941</v>
      </c>
      <c r="C889" t="s">
        <v>939</v>
      </c>
      <c r="K889" t="str">
        <f>_xlfn.XLOOKUP(Table9[[#This Row],[admin_name]],$G$2:$G$33,$H$2:$H$33, Table9[[#This Row],[admin_name]])</f>
        <v>Lesser Poland</v>
      </c>
    </row>
    <row r="890" spans="1:11" x14ac:dyDescent="0.55000000000000004">
      <c r="A890" t="s">
        <v>730</v>
      </c>
      <c r="B890" t="s">
        <v>941</v>
      </c>
      <c r="C890" t="s">
        <v>939</v>
      </c>
      <c r="K890" t="str">
        <f>_xlfn.XLOOKUP(Table9[[#This Row],[admin_name]],$G$2:$G$33,$H$2:$H$33, Table9[[#This Row],[admin_name]])</f>
        <v>Lesser Poland</v>
      </c>
    </row>
    <row r="891" spans="1:11" x14ac:dyDescent="0.55000000000000004">
      <c r="A891" t="s">
        <v>731</v>
      </c>
      <c r="B891" t="s">
        <v>943</v>
      </c>
      <c r="C891" t="s">
        <v>939</v>
      </c>
      <c r="K891" t="str">
        <f>_xlfn.XLOOKUP(Table9[[#This Row],[admin_name]],$G$2:$G$33,$H$2:$H$33, Table9[[#This Row],[admin_name]])</f>
        <v>Greater Poland</v>
      </c>
    </row>
    <row r="892" spans="1:11" x14ac:dyDescent="0.55000000000000004">
      <c r="A892" t="s">
        <v>732</v>
      </c>
      <c r="B892" t="s">
        <v>941</v>
      </c>
      <c r="C892" t="s">
        <v>939</v>
      </c>
      <c r="K892" t="str">
        <f>_xlfn.XLOOKUP(Table9[[#This Row],[admin_name]],$G$2:$G$33,$H$2:$H$33, Table9[[#This Row],[admin_name]])</f>
        <v>Lesser Poland</v>
      </c>
    </row>
    <row r="893" spans="1:11" x14ac:dyDescent="0.55000000000000004">
      <c r="A893" t="s">
        <v>734</v>
      </c>
      <c r="B893" t="s">
        <v>948</v>
      </c>
      <c r="C893" t="s">
        <v>939</v>
      </c>
      <c r="K893" t="str">
        <f>_xlfn.XLOOKUP(Table9[[#This Row],[admin_name]],$G$2:$G$33,$H$2:$H$33, Table9[[#This Row],[admin_name]])</f>
        <v>Silesian</v>
      </c>
    </row>
    <row r="894" spans="1:11" x14ac:dyDescent="0.55000000000000004">
      <c r="A894" t="s">
        <v>735</v>
      </c>
      <c r="B894" t="s">
        <v>951</v>
      </c>
      <c r="C894" t="s">
        <v>939</v>
      </c>
      <c r="K894" t="str">
        <f>_xlfn.XLOOKUP(Table9[[#This Row],[admin_name]],$G$2:$G$33,$H$2:$H$33, Table9[[#This Row],[admin_name]])</f>
        <v>Subcarpathian</v>
      </c>
    </row>
    <row r="895" spans="1:11" x14ac:dyDescent="0.55000000000000004">
      <c r="A895" t="s">
        <v>737</v>
      </c>
      <c r="B895" t="s">
        <v>941</v>
      </c>
      <c r="C895" t="s">
        <v>939</v>
      </c>
      <c r="K895" t="str">
        <f>_xlfn.XLOOKUP(Table9[[#This Row],[admin_name]],$G$2:$G$33,$H$2:$H$33, Table9[[#This Row],[admin_name]])</f>
        <v>Lesser Poland</v>
      </c>
    </row>
    <row r="896" spans="1:11" x14ac:dyDescent="0.55000000000000004">
      <c r="A896" t="s">
        <v>739</v>
      </c>
      <c r="B896" t="s">
        <v>554</v>
      </c>
      <c r="C896" t="s">
        <v>939</v>
      </c>
      <c r="K896" t="str">
        <f>_xlfn.XLOOKUP(Table9[[#This Row],[admin_name]],$G$2:$G$33,$H$2:$H$33, Table9[[#This Row],[admin_name]])</f>
        <v>Lublin</v>
      </c>
    </row>
    <row r="897" spans="1:11" x14ac:dyDescent="0.55000000000000004">
      <c r="A897" t="s">
        <v>741</v>
      </c>
      <c r="B897" t="s">
        <v>943</v>
      </c>
      <c r="C897" t="s">
        <v>939</v>
      </c>
      <c r="K897" t="str">
        <f>_xlfn.XLOOKUP(Table9[[#This Row],[admin_name]],$G$2:$G$33,$H$2:$H$33, Table9[[#This Row],[admin_name]])</f>
        <v>Greater Poland</v>
      </c>
    </row>
    <row r="898" spans="1:11" x14ac:dyDescent="0.55000000000000004">
      <c r="A898" t="s">
        <v>742</v>
      </c>
      <c r="B898" t="s">
        <v>943</v>
      </c>
      <c r="C898" t="s">
        <v>939</v>
      </c>
      <c r="K898" t="str">
        <f>_xlfn.XLOOKUP(Table9[[#This Row],[admin_name]],$G$2:$G$33,$H$2:$H$33, Table9[[#This Row],[admin_name]])</f>
        <v>Greater Poland</v>
      </c>
    </row>
    <row r="899" spans="1:11" x14ac:dyDescent="0.55000000000000004">
      <c r="A899" t="s">
        <v>743</v>
      </c>
      <c r="B899" t="s">
        <v>942</v>
      </c>
      <c r="C899" t="s">
        <v>939</v>
      </c>
      <c r="K899" t="str">
        <f>_xlfn.XLOOKUP(Table9[[#This Row],[admin_name]],$G$2:$G$33,$H$2:$H$33, Table9[[#This Row],[admin_name]])</f>
        <v>Lower Silesian</v>
      </c>
    </row>
    <row r="900" spans="1:11" x14ac:dyDescent="0.55000000000000004">
      <c r="A900" t="s">
        <v>745</v>
      </c>
      <c r="B900" t="s">
        <v>626</v>
      </c>
      <c r="C900" t="s">
        <v>939</v>
      </c>
      <c r="K900" t="str">
        <f>_xlfn.XLOOKUP(Table9[[#This Row],[admin_name]],$G$2:$G$33,$H$2:$H$33, Table9[[#This Row],[admin_name]])</f>
        <v>Opole</v>
      </c>
    </row>
    <row r="901" spans="1:11" x14ac:dyDescent="0.55000000000000004">
      <c r="A901" t="s">
        <v>746</v>
      </c>
      <c r="B901" t="s">
        <v>554</v>
      </c>
      <c r="C901" t="s">
        <v>939</v>
      </c>
      <c r="K901" t="str">
        <f>_xlfn.XLOOKUP(Table9[[#This Row],[admin_name]],$G$2:$G$33,$H$2:$H$33, Table9[[#This Row],[admin_name]])</f>
        <v>Lublin</v>
      </c>
    </row>
    <row r="902" spans="1:11" x14ac:dyDescent="0.55000000000000004">
      <c r="A902" t="s">
        <v>747</v>
      </c>
      <c r="B902" t="s">
        <v>554</v>
      </c>
      <c r="C902" t="s">
        <v>939</v>
      </c>
      <c r="K902" t="str">
        <f>_xlfn.XLOOKUP(Table9[[#This Row],[admin_name]],$G$2:$G$33,$H$2:$H$33, Table9[[#This Row],[admin_name]])</f>
        <v>Lublin</v>
      </c>
    </row>
    <row r="903" spans="1:11" x14ac:dyDescent="0.55000000000000004">
      <c r="A903" t="s">
        <v>748</v>
      </c>
      <c r="B903" t="s">
        <v>962</v>
      </c>
      <c r="C903" t="s">
        <v>939</v>
      </c>
      <c r="K903" t="str">
        <f>_xlfn.XLOOKUP(Table9[[#This Row],[admin_name]],$G$2:$G$33,$H$2:$H$33, Table9[[#This Row],[admin_name]])</f>
        <v>Podlachian</v>
      </c>
    </row>
    <row r="904" spans="1:11" x14ac:dyDescent="0.55000000000000004">
      <c r="A904" t="s">
        <v>750</v>
      </c>
      <c r="B904" t="s">
        <v>949</v>
      </c>
      <c r="C904" t="s">
        <v>939</v>
      </c>
      <c r="K904" t="str">
        <f>_xlfn.XLOOKUP(Table9[[#This Row],[admin_name]],$G$2:$G$33,$H$2:$H$33, Table9[[#This Row],[admin_name]])</f>
        <v>Lubusz</v>
      </c>
    </row>
    <row r="905" spans="1:11" x14ac:dyDescent="0.55000000000000004">
      <c r="A905" t="s">
        <v>751</v>
      </c>
      <c r="B905" t="s">
        <v>961</v>
      </c>
      <c r="C905" t="s">
        <v>939</v>
      </c>
      <c r="K905" t="str">
        <f>_xlfn.XLOOKUP(Table9[[#This Row],[admin_name]],$G$2:$G$33,$H$2:$H$33, Table9[[#This Row],[admin_name]])</f>
        <v>Masovian</v>
      </c>
    </row>
    <row r="906" spans="1:11" x14ac:dyDescent="0.55000000000000004">
      <c r="A906" t="s">
        <v>752</v>
      </c>
      <c r="B906" t="s">
        <v>579</v>
      </c>
      <c r="C906" t="s">
        <v>939</v>
      </c>
      <c r="K906" t="str">
        <f>_xlfn.XLOOKUP(Table9[[#This Row],[admin_name]],$G$2:$G$33,$H$2:$H$33, Table9[[#This Row],[admin_name]])</f>
        <v>Łódź</v>
      </c>
    </row>
    <row r="907" spans="1:11" x14ac:dyDescent="0.55000000000000004">
      <c r="A907" t="s">
        <v>753</v>
      </c>
      <c r="B907" t="s">
        <v>948</v>
      </c>
      <c r="C907" t="s">
        <v>939</v>
      </c>
      <c r="K907" t="str">
        <f>_xlfn.XLOOKUP(Table9[[#This Row],[admin_name]],$G$2:$G$33,$H$2:$H$33, Table9[[#This Row],[admin_name]])</f>
        <v>Silesian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EA0A-DBCC-4CC0-9B77-5F8160FA9819}">
  <dimension ref="B2:M111"/>
  <sheetViews>
    <sheetView workbookViewId="0">
      <selection activeCell="I107" sqref="I107"/>
    </sheetView>
  </sheetViews>
  <sheetFormatPr defaultRowHeight="14.4" x14ac:dyDescent="0.55000000000000004"/>
  <cols>
    <col min="10" max="10" width="7.734375" customWidth="1"/>
    <col min="11" max="11" width="8.83984375" hidden="1" customWidth="1"/>
    <col min="12" max="12" width="18" bestFit="1" customWidth="1"/>
  </cols>
  <sheetData>
    <row r="2" spans="2:13" x14ac:dyDescent="0.55000000000000004">
      <c r="B2" t="s">
        <v>555</v>
      </c>
      <c r="C2" t="s">
        <v>946</v>
      </c>
      <c r="F2" t="str" cm="1">
        <f t="array" ref="F2">_xlfn.XLOOKUP(C2,$M$2:$M$17,_xlfn.ANCHORARRAY($L$2))</f>
        <v>Kujawsko-Pomorskie</v>
      </c>
      <c r="L2" t="str" cm="1">
        <f t="array" ref="L2:L17">_xlfn.UNIQUE(cities_state_pl[admin_name])</f>
        <v>Mazowieckie</v>
      </c>
      <c r="M2" t="s">
        <v>940</v>
      </c>
    </row>
    <row r="3" spans="2:13" x14ac:dyDescent="0.55000000000000004">
      <c r="B3" t="s">
        <v>559</v>
      </c>
      <c r="C3" t="s">
        <v>950</v>
      </c>
      <c r="F3" t="str" cm="1">
        <f t="array" ref="F3">_xlfn.XLOOKUP(C3,$M$2:$M$17,_xlfn.ANCHORARRAY($L$2))</f>
        <v>Warmińsko-Mazurskie</v>
      </c>
      <c r="L3" t="str">
        <v>Małopolskie</v>
      </c>
      <c r="M3" t="s">
        <v>941</v>
      </c>
    </row>
    <row r="4" spans="2:13" x14ac:dyDescent="0.55000000000000004">
      <c r="B4" t="s">
        <v>561</v>
      </c>
      <c r="C4" t="s">
        <v>940</v>
      </c>
      <c r="F4" t="str" cm="1">
        <f t="array" ref="F4">_xlfn.XLOOKUP(C4,$M$2:$M$17,_xlfn.ANCHORARRAY($L$2))</f>
        <v>Mazowieckie</v>
      </c>
      <c r="L4" t="str">
        <v>Dolnośląskie</v>
      </c>
      <c r="M4" t="s">
        <v>942</v>
      </c>
    </row>
    <row r="5" spans="2:13" x14ac:dyDescent="0.55000000000000004">
      <c r="B5" t="s">
        <v>562</v>
      </c>
      <c r="C5" t="s">
        <v>950</v>
      </c>
      <c r="F5" t="str" cm="1">
        <f t="array" ref="F5">_xlfn.XLOOKUP(C5,$M$2:$M$17,_xlfn.ANCHORARRAY($L$2))</f>
        <v>Warmińsko-Mazurskie</v>
      </c>
      <c r="L5" t="str">
        <v>Łódzkie</v>
      </c>
      <c r="M5" t="s">
        <v>579</v>
      </c>
    </row>
    <row r="6" spans="2:13" x14ac:dyDescent="0.55000000000000004">
      <c r="B6" t="s">
        <v>564</v>
      </c>
      <c r="C6" t="s">
        <v>949</v>
      </c>
      <c r="F6" t="str" cm="1">
        <f t="array" ref="F6">_xlfn.XLOOKUP(C6,$M$2:$M$17,_xlfn.ANCHORARRAY($L$2))</f>
        <v>Lubuskie</v>
      </c>
      <c r="L6" t="str">
        <v>Wielkopolskie</v>
      </c>
      <c r="M6" t="s">
        <v>943</v>
      </c>
    </row>
    <row r="7" spans="2:13" x14ac:dyDescent="0.55000000000000004">
      <c r="B7" t="s">
        <v>565</v>
      </c>
      <c r="C7" t="s">
        <v>940</v>
      </c>
      <c r="F7" t="str" cm="1">
        <f t="array" ref="F7">_xlfn.XLOOKUP(C7,$M$2:$M$17,_xlfn.ANCHORARRAY($L$2))</f>
        <v>Mazowieckie</v>
      </c>
      <c r="L7" t="str">
        <v>Pomorskie</v>
      </c>
      <c r="M7" t="s">
        <v>944</v>
      </c>
    </row>
    <row r="8" spans="2:13" x14ac:dyDescent="0.55000000000000004">
      <c r="B8" t="s">
        <v>568</v>
      </c>
      <c r="C8" t="s">
        <v>948</v>
      </c>
      <c r="F8" t="str" cm="1">
        <f t="array" ref="F8">_xlfn.XLOOKUP(C8,$M$2:$M$17,_xlfn.ANCHORARRAY($L$2))</f>
        <v>Śląskie</v>
      </c>
      <c r="L8" t="str">
        <v>Zachodniopomorskie</v>
      </c>
      <c r="M8" t="s">
        <v>945</v>
      </c>
    </row>
    <row r="9" spans="2:13" x14ac:dyDescent="0.55000000000000004">
      <c r="B9" t="s">
        <v>569</v>
      </c>
      <c r="C9" t="s">
        <v>948</v>
      </c>
      <c r="F9" t="str" cm="1">
        <f t="array" ref="F9">_xlfn.XLOOKUP(C9,$M$2:$M$17,_xlfn.ANCHORARRAY($L$2))</f>
        <v>Śląskie</v>
      </c>
      <c r="L9" t="str">
        <v>Kujawsko-Pomorskie</v>
      </c>
      <c r="M9" t="s">
        <v>946</v>
      </c>
    </row>
    <row r="10" spans="2:13" x14ac:dyDescent="0.55000000000000004">
      <c r="B10" t="s">
        <v>571</v>
      </c>
      <c r="C10" t="s">
        <v>942</v>
      </c>
      <c r="F10" t="str" cm="1">
        <f t="array" ref="F10">_xlfn.XLOOKUP(C10,$M$2:$M$17,_xlfn.ANCHORARRAY($L$2))</f>
        <v>Dolnośląskie</v>
      </c>
      <c r="L10" t="str">
        <v>Lubelskie</v>
      </c>
      <c r="M10" t="s">
        <v>554</v>
      </c>
    </row>
    <row r="11" spans="2:13" x14ac:dyDescent="0.55000000000000004">
      <c r="B11" t="s">
        <v>573</v>
      </c>
      <c r="C11" t="s">
        <v>950</v>
      </c>
      <c r="F11" t="str" cm="1">
        <f t="array" ref="F11">_xlfn.XLOOKUP(C11,$M$2:$M$17,_xlfn.ANCHORARRAY($L$2))</f>
        <v>Warmińsko-Mazurskie</v>
      </c>
      <c r="L11" t="str">
        <v>Podlaskie</v>
      </c>
      <c r="M11" t="s">
        <v>947</v>
      </c>
    </row>
    <row r="12" spans="2:13" x14ac:dyDescent="0.55000000000000004">
      <c r="B12" t="s">
        <v>575</v>
      </c>
      <c r="C12" t="s">
        <v>944</v>
      </c>
      <c r="F12" t="str" cm="1">
        <f t="array" ref="F12">_xlfn.XLOOKUP(C12,$M$2:$M$17,_xlfn.ANCHORARRAY($L$2))</f>
        <v>Pomorskie</v>
      </c>
      <c r="L12" t="str">
        <v>Śląskie</v>
      </c>
      <c r="M12" t="s">
        <v>948</v>
      </c>
    </row>
    <row r="13" spans="2:13" x14ac:dyDescent="0.55000000000000004">
      <c r="B13" t="s">
        <v>581</v>
      </c>
      <c r="C13" t="s">
        <v>951</v>
      </c>
      <c r="F13" t="str" cm="1">
        <f t="array" ref="F13">_xlfn.XLOOKUP(C13,$M$2:$M$17,_xlfn.ANCHORARRAY($L$2))</f>
        <v>Podkarpackie</v>
      </c>
      <c r="L13" t="str">
        <v>Lubuskie</v>
      </c>
      <c r="M13" t="s">
        <v>949</v>
      </c>
    </row>
    <row r="14" spans="2:13" x14ac:dyDescent="0.55000000000000004">
      <c r="B14" t="s">
        <v>583</v>
      </c>
      <c r="C14" t="s">
        <v>626</v>
      </c>
      <c r="F14" t="str" cm="1">
        <f t="array" ref="F14">_xlfn.XLOOKUP(C14,$M$2:$M$17,_xlfn.ANCHORARRAY($L$2))</f>
        <v>Opolskie</v>
      </c>
      <c r="L14" t="str">
        <v>Podkarpackie</v>
      </c>
      <c r="M14" t="s">
        <v>951</v>
      </c>
    </row>
    <row r="15" spans="2:13" x14ac:dyDescent="0.55000000000000004">
      <c r="B15" t="s">
        <v>585</v>
      </c>
      <c r="C15" t="s">
        <v>941</v>
      </c>
      <c r="F15" t="str" cm="1">
        <f t="array" ref="F15">_xlfn.XLOOKUP(C15,$M$2:$M$17,_xlfn.ANCHORARRAY($L$2))</f>
        <v>Małopolskie</v>
      </c>
      <c r="L15" t="str">
        <v>Świętokrzyskie</v>
      </c>
      <c r="M15" t="s">
        <v>841</v>
      </c>
    </row>
    <row r="16" spans="2:13" x14ac:dyDescent="0.55000000000000004">
      <c r="B16" t="s">
        <v>586</v>
      </c>
      <c r="C16" t="s">
        <v>940</v>
      </c>
      <c r="F16" t="str" cm="1">
        <f t="array" ref="F16">_xlfn.XLOOKUP(C16,$M$2:$M$17,_xlfn.ANCHORARRAY($L$2))</f>
        <v>Mazowieckie</v>
      </c>
      <c r="L16" t="str">
        <v>Warmińsko-Mazurskie</v>
      </c>
      <c r="M16" t="s">
        <v>950</v>
      </c>
    </row>
    <row r="17" spans="2:13" x14ac:dyDescent="0.55000000000000004">
      <c r="B17" t="s">
        <v>588</v>
      </c>
      <c r="C17" t="s">
        <v>945</v>
      </c>
      <c r="F17" t="str" cm="1">
        <f t="array" ref="F17">_xlfn.XLOOKUP(C17,$M$2:$M$17,_xlfn.ANCHORARRAY($L$2))</f>
        <v>Zachodniopomorskie</v>
      </c>
      <c r="L17" t="str">
        <v>Opolskie</v>
      </c>
      <c r="M17" t="s">
        <v>626</v>
      </c>
    </row>
    <row r="18" spans="2:13" x14ac:dyDescent="0.55000000000000004">
      <c r="B18" t="s">
        <v>589</v>
      </c>
      <c r="C18" t="s">
        <v>941</v>
      </c>
      <c r="F18" t="str" cm="1">
        <f t="array" ref="F18">_xlfn.XLOOKUP(C18,$M$2:$M$17,_xlfn.ANCHORARRAY($L$2))</f>
        <v>Małopolskie</v>
      </c>
    </row>
    <row r="19" spans="2:13" x14ac:dyDescent="0.55000000000000004">
      <c r="B19" t="s">
        <v>595</v>
      </c>
      <c r="C19" t="s">
        <v>946</v>
      </c>
      <c r="F19" t="str" cm="1">
        <f t="array" ref="F19">_xlfn.XLOOKUP(C19,$M$2:$M$17,_xlfn.ANCHORARRAY($L$2))</f>
        <v>Kujawsko-Pomorskie</v>
      </c>
    </row>
    <row r="20" spans="2:13" x14ac:dyDescent="0.55000000000000004">
      <c r="B20" t="s">
        <v>596</v>
      </c>
      <c r="C20" t="s">
        <v>942</v>
      </c>
      <c r="F20" t="str" cm="1">
        <f t="array" ref="F20">_xlfn.XLOOKUP(C20,$M$2:$M$17,_xlfn.ANCHORARRAY($L$2))</f>
        <v>Dolnośląskie</v>
      </c>
    </row>
    <row r="21" spans="2:13" x14ac:dyDescent="0.55000000000000004">
      <c r="B21" t="s">
        <v>597</v>
      </c>
      <c r="C21" t="s">
        <v>944</v>
      </c>
      <c r="F21" t="str" cm="1">
        <f t="array" ref="F21">_xlfn.XLOOKUP(C21,$M$2:$M$17,_xlfn.ANCHORARRAY($L$2))</f>
        <v>Pomorskie</v>
      </c>
    </row>
    <row r="22" spans="2:13" x14ac:dyDescent="0.55000000000000004">
      <c r="B22" t="s">
        <v>599</v>
      </c>
      <c r="C22" t="s">
        <v>946</v>
      </c>
      <c r="F22" t="str" cm="1">
        <f t="array" ref="F22">_xlfn.XLOOKUP(C22,$M$2:$M$17,_xlfn.ANCHORARRAY($L$2))</f>
        <v>Kujawsko-Pomorskie</v>
      </c>
    </row>
    <row r="23" spans="2:13" x14ac:dyDescent="0.55000000000000004">
      <c r="B23" t="s">
        <v>602</v>
      </c>
      <c r="C23" t="s">
        <v>554</v>
      </c>
      <c r="F23" t="str" cm="1">
        <f t="array" ref="F23">_xlfn.XLOOKUP(C23,$M$2:$M$17,_xlfn.ANCHORARRAY($L$2))</f>
        <v>Lubelskie</v>
      </c>
    </row>
    <row r="24" spans="2:13" x14ac:dyDescent="0.55000000000000004">
      <c r="B24" t="s">
        <v>603</v>
      </c>
      <c r="C24" t="s">
        <v>945</v>
      </c>
      <c r="F24" t="str" cm="1">
        <f t="array" ref="F24">_xlfn.XLOOKUP(C24,$M$2:$M$17,_xlfn.ANCHORARRAY($L$2))</f>
        <v>Zachodniopomorskie</v>
      </c>
    </row>
    <row r="25" spans="2:13" x14ac:dyDescent="0.55000000000000004">
      <c r="B25" t="s">
        <v>605</v>
      </c>
      <c r="C25" t="s">
        <v>946</v>
      </c>
      <c r="F25" t="str" cm="1">
        <f t="array" ref="F25">_xlfn.XLOOKUP(C25,$M$2:$M$17,_xlfn.ANCHORARRAY($L$2))</f>
        <v>Kujawsko-Pomorskie</v>
      </c>
    </row>
    <row r="26" spans="2:13" x14ac:dyDescent="0.55000000000000004">
      <c r="B26" t="s">
        <v>606</v>
      </c>
      <c r="C26" t="s">
        <v>945</v>
      </c>
      <c r="F26" t="str" cm="1">
        <f t="array" ref="F26">_xlfn.XLOOKUP(C26,$M$2:$M$17,_xlfn.ANCHORARRAY($L$2))</f>
        <v>Zachodniopomorskie</v>
      </c>
    </row>
    <row r="27" spans="2:13" x14ac:dyDescent="0.55000000000000004">
      <c r="B27" t="s">
        <v>607</v>
      </c>
      <c r="C27" t="s">
        <v>841</v>
      </c>
      <c r="F27" t="str" cm="1">
        <f t="array" ref="F27">_xlfn.XLOOKUP(C27,$M$2:$M$17,_xlfn.ANCHORARRAY($L$2))</f>
        <v>Świętokrzyskie</v>
      </c>
    </row>
    <row r="28" spans="2:13" x14ac:dyDescent="0.55000000000000004">
      <c r="B28" t="s">
        <v>608</v>
      </c>
      <c r="C28" t="s">
        <v>945</v>
      </c>
      <c r="F28" t="str" cm="1">
        <f t="array" ref="F28">_xlfn.XLOOKUP(C28,$M$2:$M$17,_xlfn.ANCHORARRAY($L$2))</f>
        <v>Zachodniopomorskie</v>
      </c>
    </row>
    <row r="29" spans="2:13" x14ac:dyDescent="0.55000000000000004">
      <c r="B29" t="s">
        <v>609</v>
      </c>
      <c r="C29" t="s">
        <v>951</v>
      </c>
      <c r="F29" t="str" cm="1">
        <f t="array" ref="F29">_xlfn.XLOOKUP(C29,$M$2:$M$17,_xlfn.ANCHORARRAY($L$2))</f>
        <v>Podkarpackie</v>
      </c>
    </row>
    <row r="30" spans="2:13" x14ac:dyDescent="0.55000000000000004">
      <c r="B30" t="s">
        <v>610</v>
      </c>
      <c r="C30" t="s">
        <v>950</v>
      </c>
      <c r="F30" t="str" cm="1">
        <f t="array" ref="F30">_xlfn.XLOOKUP(C30,$M$2:$M$17,_xlfn.ANCHORARRAY($L$2))</f>
        <v>Warmińsko-Mazurskie</v>
      </c>
    </row>
    <row r="31" spans="2:13" x14ac:dyDescent="0.55000000000000004">
      <c r="B31" t="s">
        <v>612</v>
      </c>
      <c r="C31" t="s">
        <v>942</v>
      </c>
      <c r="F31" t="str" cm="1">
        <f t="array" ref="F31">_xlfn.XLOOKUP(C31,$M$2:$M$17,_xlfn.ANCHORARRAY($L$2))</f>
        <v>Dolnośląskie</v>
      </c>
    </row>
    <row r="32" spans="2:13" x14ac:dyDescent="0.55000000000000004">
      <c r="B32" t="s">
        <v>613</v>
      </c>
      <c r="C32" t="s">
        <v>626</v>
      </c>
      <c r="F32" t="str" cm="1">
        <f t="array" ref="F32">_xlfn.XLOOKUP(C32,$M$2:$M$17,_xlfn.ANCHORARRAY($L$2))</f>
        <v>Opolskie</v>
      </c>
    </row>
    <row r="33" spans="2:6" x14ac:dyDescent="0.55000000000000004">
      <c r="B33" t="s">
        <v>615</v>
      </c>
      <c r="C33" t="s">
        <v>579</v>
      </c>
      <c r="F33" t="str" cm="1">
        <f t="array" ref="F33">_xlfn.XLOOKUP(C33,$M$2:$M$17,_xlfn.ANCHORARRAY($L$2))</f>
        <v>Łódzkie</v>
      </c>
    </row>
    <row r="34" spans="2:6" x14ac:dyDescent="0.55000000000000004">
      <c r="B34" t="s">
        <v>619</v>
      </c>
      <c r="C34" t="s">
        <v>940</v>
      </c>
      <c r="F34" t="str" cm="1">
        <f t="array" ref="F34">_xlfn.XLOOKUP(C34,$M$2:$M$17,_xlfn.ANCHORARRAY($L$2))</f>
        <v>Mazowieckie</v>
      </c>
    </row>
    <row r="35" spans="2:6" x14ac:dyDescent="0.55000000000000004">
      <c r="B35" t="s">
        <v>621</v>
      </c>
      <c r="C35" t="s">
        <v>940</v>
      </c>
      <c r="F35" t="str" cm="1">
        <f t="array" ref="F35">_xlfn.XLOOKUP(C35,$M$2:$M$17,_xlfn.ANCHORARRAY($L$2))</f>
        <v>Mazowieckie</v>
      </c>
    </row>
    <row r="36" spans="2:6" x14ac:dyDescent="0.55000000000000004">
      <c r="B36" t="s">
        <v>623</v>
      </c>
      <c r="C36" t="s">
        <v>940</v>
      </c>
      <c r="F36" t="str" cm="1">
        <f t="array" ref="F36">_xlfn.XLOOKUP(C36,$M$2:$M$17,_xlfn.ANCHORARRAY($L$2))</f>
        <v>Mazowieckie</v>
      </c>
    </row>
    <row r="37" spans="2:6" x14ac:dyDescent="0.55000000000000004">
      <c r="B37" t="s">
        <v>624</v>
      </c>
      <c r="C37" t="s">
        <v>950</v>
      </c>
      <c r="F37" t="str" cm="1">
        <f t="array" ref="F37">_xlfn.XLOOKUP(C37,$M$2:$M$17,_xlfn.ANCHORARRAY($L$2))</f>
        <v>Warmińsko-Mazurskie</v>
      </c>
    </row>
    <row r="38" spans="2:6" x14ac:dyDescent="0.55000000000000004">
      <c r="B38" t="s">
        <v>625</v>
      </c>
      <c r="C38" t="s">
        <v>579</v>
      </c>
      <c r="F38" t="str" cm="1">
        <f t="array" ref="F38">_xlfn.XLOOKUP(C38,$M$2:$M$17,_xlfn.ANCHORARRAY($L$2))</f>
        <v>Łódzkie</v>
      </c>
    </row>
    <row r="39" spans="2:6" x14ac:dyDescent="0.55000000000000004">
      <c r="B39" t="s">
        <v>627</v>
      </c>
      <c r="C39" t="s">
        <v>554</v>
      </c>
      <c r="F39" t="str" cm="1">
        <f t="array" ref="F39">_xlfn.XLOOKUP(C39,$M$2:$M$17,_xlfn.ANCHORARRAY($L$2))</f>
        <v>Lubelskie</v>
      </c>
    </row>
    <row r="40" spans="2:6" x14ac:dyDescent="0.55000000000000004">
      <c r="B40" t="s">
        <v>628</v>
      </c>
      <c r="C40" t="s">
        <v>943</v>
      </c>
      <c r="F40" t="str" cm="1">
        <f t="array" ref="F40">_xlfn.XLOOKUP(C40,$M$2:$M$17,_xlfn.ANCHORARRAY($L$2))</f>
        <v>Wielkopolskie</v>
      </c>
    </row>
    <row r="41" spans="2:6" x14ac:dyDescent="0.55000000000000004">
      <c r="B41" t="s">
        <v>632</v>
      </c>
      <c r="C41" t="s">
        <v>949</v>
      </c>
      <c r="F41" t="str" cm="1">
        <f t="array" ref="F41">_xlfn.XLOOKUP(C41,$M$2:$M$17,_xlfn.ANCHORARRAY($L$2))</f>
        <v>Lubuskie</v>
      </c>
    </row>
    <row r="42" spans="2:6" x14ac:dyDescent="0.55000000000000004">
      <c r="B42" t="s">
        <v>634</v>
      </c>
      <c r="C42" t="s">
        <v>626</v>
      </c>
      <c r="F42" t="str" cm="1">
        <f t="array" ref="F42">_xlfn.XLOOKUP(C42,$M$2:$M$17,_xlfn.ANCHORARRAY($L$2))</f>
        <v>Opolskie</v>
      </c>
    </row>
    <row r="43" spans="2:6" x14ac:dyDescent="0.55000000000000004">
      <c r="B43" t="s">
        <v>636</v>
      </c>
      <c r="C43" t="s">
        <v>942</v>
      </c>
      <c r="F43" t="str" cm="1">
        <f t="array" ref="F43">_xlfn.XLOOKUP(C43,$M$2:$M$17,_xlfn.ANCHORARRAY($L$2))</f>
        <v>Dolnośląskie</v>
      </c>
    </row>
    <row r="44" spans="2:6" x14ac:dyDescent="0.55000000000000004">
      <c r="B44" t="s">
        <v>637</v>
      </c>
      <c r="C44" t="s">
        <v>579</v>
      </c>
      <c r="F44" t="str" cm="1">
        <f t="array" ref="F44">_xlfn.XLOOKUP(C44,$M$2:$M$17,_xlfn.ANCHORARRAY($L$2))</f>
        <v>Łódzkie</v>
      </c>
    </row>
    <row r="45" spans="2:6" x14ac:dyDescent="0.55000000000000004">
      <c r="B45" t="s">
        <v>638</v>
      </c>
      <c r="C45" t="s">
        <v>951</v>
      </c>
      <c r="F45" t="str" cm="1">
        <f t="array" ref="F45">_xlfn.XLOOKUP(C45,$M$2:$M$17,_xlfn.ANCHORARRAY($L$2))</f>
        <v>Podkarpackie</v>
      </c>
    </row>
    <row r="46" spans="2:6" x14ac:dyDescent="0.55000000000000004">
      <c r="B46" t="s">
        <v>639</v>
      </c>
      <c r="C46" t="s">
        <v>951</v>
      </c>
      <c r="F46" t="str" cm="1">
        <f t="array" ref="F46">_xlfn.XLOOKUP(C46,$M$2:$M$17,_xlfn.ANCHORARRAY($L$2))</f>
        <v>Podkarpackie</v>
      </c>
    </row>
    <row r="47" spans="2:6" x14ac:dyDescent="0.55000000000000004">
      <c r="B47" t="s">
        <v>641</v>
      </c>
      <c r="C47" t="s">
        <v>579</v>
      </c>
      <c r="F47" t="str" cm="1">
        <f t="array" ref="F47">_xlfn.XLOOKUP(C47,$M$2:$M$17,_xlfn.ANCHORARRAY($L$2))</f>
        <v>Łódzkie</v>
      </c>
    </row>
    <row r="48" spans="2:6" x14ac:dyDescent="0.55000000000000004">
      <c r="B48" t="s">
        <v>642</v>
      </c>
      <c r="C48" t="s">
        <v>945</v>
      </c>
      <c r="F48" t="str" cm="1">
        <f t="array" ref="F48">_xlfn.XLOOKUP(C48,$M$2:$M$17,_xlfn.ANCHORARRAY($L$2))</f>
        <v>Zachodniopomorskie</v>
      </c>
    </row>
    <row r="49" spans="2:6" x14ac:dyDescent="0.55000000000000004">
      <c r="B49" t="s">
        <v>644</v>
      </c>
      <c r="C49" t="s">
        <v>942</v>
      </c>
      <c r="F49" t="str" cm="1">
        <f t="array" ref="F49">_xlfn.XLOOKUP(C49,$M$2:$M$17,_xlfn.ANCHORARRAY($L$2))</f>
        <v>Dolnośląskie</v>
      </c>
    </row>
    <row r="50" spans="2:6" x14ac:dyDescent="0.55000000000000004">
      <c r="B50" t="s">
        <v>645</v>
      </c>
      <c r="C50" t="s">
        <v>947</v>
      </c>
      <c r="F50" t="str" cm="1">
        <f t="array" ref="F50">_xlfn.XLOOKUP(C50,$M$2:$M$17,_xlfn.ANCHORARRAY($L$2))</f>
        <v>Podlaskie</v>
      </c>
    </row>
    <row r="51" spans="2:6" x14ac:dyDescent="0.55000000000000004">
      <c r="B51" t="s">
        <v>646</v>
      </c>
      <c r="C51" t="s">
        <v>944</v>
      </c>
      <c r="F51" t="str" cm="1">
        <f t="array" ref="F51">_xlfn.XLOOKUP(C51,$M$2:$M$17,_xlfn.ANCHORARRAY($L$2))</f>
        <v>Pomorskie</v>
      </c>
    </row>
    <row r="52" spans="2:6" x14ac:dyDescent="0.55000000000000004">
      <c r="B52" t="s">
        <v>648</v>
      </c>
      <c r="C52" t="s">
        <v>942</v>
      </c>
      <c r="F52" t="str" cm="1">
        <f t="array" ref="F52">_xlfn.XLOOKUP(C52,$M$2:$M$17,_xlfn.ANCHORARRAY($L$2))</f>
        <v>Dolnośląskie</v>
      </c>
    </row>
    <row r="53" spans="2:6" x14ac:dyDescent="0.55000000000000004">
      <c r="B53" t="s">
        <v>650</v>
      </c>
      <c r="C53" t="s">
        <v>554</v>
      </c>
      <c r="F53" t="str" cm="1">
        <f t="array" ref="F53">_xlfn.XLOOKUP(C53,$M$2:$M$17,_xlfn.ANCHORARRAY($L$2))</f>
        <v>Lubelskie</v>
      </c>
    </row>
    <row r="54" spans="2:6" x14ac:dyDescent="0.55000000000000004">
      <c r="B54" t="s">
        <v>651</v>
      </c>
      <c r="C54" t="s">
        <v>941</v>
      </c>
      <c r="F54" t="str" cm="1">
        <f t="array" ref="F54">_xlfn.XLOOKUP(C54,$M$2:$M$17,_xlfn.ANCHORARRAY($L$2))</f>
        <v>Małopolskie</v>
      </c>
    </row>
    <row r="55" spans="2:6" x14ac:dyDescent="0.55000000000000004">
      <c r="B55" t="s">
        <v>652</v>
      </c>
      <c r="C55" t="s">
        <v>626</v>
      </c>
      <c r="F55" t="str" cm="1">
        <f t="array" ref="F55">_xlfn.XLOOKUP(C55,$M$2:$M$17,_xlfn.ANCHORARRAY($L$2))</f>
        <v>Opolskie</v>
      </c>
    </row>
    <row r="56" spans="2:6" x14ac:dyDescent="0.55000000000000004">
      <c r="B56" t="s">
        <v>656</v>
      </c>
      <c r="C56" t="s">
        <v>941</v>
      </c>
      <c r="F56" t="str" cm="1">
        <f t="array" ref="F56">_xlfn.XLOOKUP(C56,$M$2:$M$17,_xlfn.ANCHORARRAY($L$2))</f>
        <v>Małopolskie</v>
      </c>
    </row>
    <row r="57" spans="2:6" x14ac:dyDescent="0.55000000000000004">
      <c r="B57" t="s">
        <v>659</v>
      </c>
      <c r="C57" t="s">
        <v>948</v>
      </c>
      <c r="F57" t="str" cm="1">
        <f t="array" ref="F57">_xlfn.XLOOKUP(C57,$M$2:$M$17,_xlfn.ANCHORARRAY($L$2))</f>
        <v>Śląskie</v>
      </c>
    </row>
    <row r="58" spans="2:6" x14ac:dyDescent="0.55000000000000004">
      <c r="B58" t="s">
        <v>660</v>
      </c>
      <c r="C58" t="s">
        <v>941</v>
      </c>
      <c r="F58" t="str" cm="1">
        <f t="array" ref="F58">_xlfn.XLOOKUP(C58,$M$2:$M$17,_xlfn.ANCHORARRAY($L$2))</f>
        <v>Małopolskie</v>
      </c>
    </row>
    <row r="59" spans="2:6" x14ac:dyDescent="0.55000000000000004">
      <c r="B59" t="s">
        <v>663</v>
      </c>
      <c r="C59" t="s">
        <v>948</v>
      </c>
      <c r="F59" t="str" cm="1">
        <f t="array" ref="F59">_xlfn.XLOOKUP(C59,$M$2:$M$17,_xlfn.ANCHORARRAY($L$2))</f>
        <v>Śląskie</v>
      </c>
    </row>
    <row r="60" spans="2:6" x14ac:dyDescent="0.55000000000000004">
      <c r="B60" t="s">
        <v>664</v>
      </c>
      <c r="C60" t="s">
        <v>951</v>
      </c>
      <c r="F60" t="str" cm="1">
        <f t="array" ref="F60">_xlfn.XLOOKUP(C60,$M$2:$M$17,_xlfn.ANCHORARRAY($L$2))</f>
        <v>Podkarpackie</v>
      </c>
    </row>
    <row r="61" spans="2:6" x14ac:dyDescent="0.55000000000000004">
      <c r="B61" t="s">
        <v>665</v>
      </c>
      <c r="C61" t="s">
        <v>947</v>
      </c>
      <c r="F61" t="str" cm="1">
        <f t="array" ref="F61">_xlfn.XLOOKUP(C61,$M$2:$M$17,_xlfn.ANCHORARRAY($L$2))</f>
        <v>Podlaskie</v>
      </c>
    </row>
    <row r="62" spans="2:6" x14ac:dyDescent="0.55000000000000004">
      <c r="B62" t="s">
        <v>670</v>
      </c>
      <c r="C62" t="s">
        <v>949</v>
      </c>
      <c r="F62" t="str" cm="1">
        <f t="array" ref="F62">_xlfn.XLOOKUP(C62,$M$2:$M$17,_xlfn.ANCHORARRAY($L$2))</f>
        <v>Lubuskie</v>
      </c>
    </row>
    <row r="63" spans="2:6" x14ac:dyDescent="0.55000000000000004">
      <c r="B63" t="s">
        <v>673</v>
      </c>
      <c r="C63" t="s">
        <v>940</v>
      </c>
      <c r="F63" t="str" cm="1">
        <f t="array" ref="F63">_xlfn.XLOOKUP(C63,$M$2:$M$17,_xlfn.ANCHORARRAY($L$2))</f>
        <v>Mazowieckie</v>
      </c>
    </row>
    <row r="64" spans="2:6" x14ac:dyDescent="0.55000000000000004">
      <c r="B64" t="s">
        <v>674</v>
      </c>
      <c r="C64" t="s">
        <v>626</v>
      </c>
      <c r="F64" t="str" cm="1">
        <f t="array" ref="F64">_xlfn.XLOOKUP(C64,$M$2:$M$17,_xlfn.ANCHORARRAY($L$2))</f>
        <v>Opolskie</v>
      </c>
    </row>
    <row r="65" spans="2:6" x14ac:dyDescent="0.55000000000000004">
      <c r="B65" t="s">
        <v>675</v>
      </c>
      <c r="C65" t="s">
        <v>947</v>
      </c>
      <c r="F65" t="str" cm="1">
        <f t="array" ref="F65">_xlfn.XLOOKUP(C65,$M$2:$M$17,_xlfn.ANCHORARRAY($L$2))</f>
        <v>Podlaskie</v>
      </c>
    </row>
    <row r="66" spans="2:6" x14ac:dyDescent="0.55000000000000004">
      <c r="B66" t="s">
        <v>676</v>
      </c>
      <c r="C66" t="s">
        <v>949</v>
      </c>
      <c r="F66" t="str" cm="1">
        <f t="array" ref="F66">_xlfn.XLOOKUP(C66,$M$2:$M$17,_xlfn.ANCHORARRAY($L$2))</f>
        <v>Lubuskie</v>
      </c>
    </row>
    <row r="67" spans="2:6" x14ac:dyDescent="0.55000000000000004">
      <c r="B67" t="s">
        <v>677</v>
      </c>
      <c r="C67" t="s">
        <v>941</v>
      </c>
      <c r="F67" t="str" cm="1">
        <f t="array" ref="F67">_xlfn.XLOOKUP(C67,$M$2:$M$17,_xlfn.ANCHORARRAY($L$2))</f>
        <v>Małopolskie</v>
      </c>
    </row>
    <row r="68" spans="2:6" x14ac:dyDescent="0.55000000000000004">
      <c r="B68" t="s">
        <v>679</v>
      </c>
      <c r="C68" t="s">
        <v>948</v>
      </c>
      <c r="F68" t="str" cm="1">
        <f t="array" ref="F68">_xlfn.XLOOKUP(C68,$M$2:$M$17,_xlfn.ANCHORARRAY($L$2))</f>
        <v>Śląskie</v>
      </c>
    </row>
    <row r="69" spans="2:6" x14ac:dyDescent="0.55000000000000004">
      <c r="B69" t="s">
        <v>681</v>
      </c>
      <c r="C69" t="s">
        <v>940</v>
      </c>
      <c r="F69" t="str" cm="1">
        <f t="array" ref="F69">_xlfn.XLOOKUP(C69,$M$2:$M$17,_xlfn.ANCHORARRAY($L$2))</f>
        <v>Mazowieckie</v>
      </c>
    </row>
    <row r="70" spans="2:6" x14ac:dyDescent="0.55000000000000004">
      <c r="B70" t="s">
        <v>682</v>
      </c>
      <c r="C70" t="s">
        <v>942</v>
      </c>
      <c r="F70" t="str" cm="1">
        <f t="array" ref="F70">_xlfn.XLOOKUP(C70,$M$2:$M$17,_xlfn.ANCHORARRAY($L$2))</f>
        <v>Dolnośląskie</v>
      </c>
    </row>
    <row r="71" spans="2:6" x14ac:dyDescent="0.55000000000000004">
      <c r="B71" t="s">
        <v>683</v>
      </c>
      <c r="C71" t="s">
        <v>942</v>
      </c>
      <c r="F71" t="str" cm="1">
        <f t="array" ref="F71">_xlfn.XLOOKUP(C71,$M$2:$M$17,_xlfn.ANCHORARRAY($L$2))</f>
        <v>Dolnośląskie</v>
      </c>
    </row>
    <row r="72" spans="2:6" x14ac:dyDescent="0.55000000000000004">
      <c r="B72" t="s">
        <v>685</v>
      </c>
      <c r="C72" t="s">
        <v>841</v>
      </c>
      <c r="F72" t="str" cm="1">
        <f t="array" ref="F72">_xlfn.XLOOKUP(C72,$M$2:$M$17,_xlfn.ANCHORARRAY($L$2))</f>
        <v>Świętokrzyskie</v>
      </c>
    </row>
    <row r="73" spans="2:6" x14ac:dyDescent="0.55000000000000004">
      <c r="B73" t="s">
        <v>686</v>
      </c>
      <c r="C73" t="s">
        <v>946</v>
      </c>
      <c r="F73" t="str" cm="1">
        <f t="array" ref="F73">_xlfn.XLOOKUP(C73,$M$2:$M$17,_xlfn.ANCHORARRAY($L$2))</f>
        <v>Kujawsko-Pomorskie</v>
      </c>
    </row>
    <row r="74" spans="2:6" x14ac:dyDescent="0.55000000000000004">
      <c r="B74" t="s">
        <v>689</v>
      </c>
      <c r="C74" t="s">
        <v>554</v>
      </c>
      <c r="F74" t="str" cm="1">
        <f t="array" ref="F74">_xlfn.XLOOKUP(C74,$M$2:$M$17,_xlfn.ANCHORARRAY($L$2))</f>
        <v>Lubelskie</v>
      </c>
    </row>
    <row r="75" spans="2:6" x14ac:dyDescent="0.55000000000000004">
      <c r="B75" t="s">
        <v>690</v>
      </c>
      <c r="C75" t="s">
        <v>945</v>
      </c>
      <c r="F75" t="str" cm="1">
        <f t="array" ref="F75">_xlfn.XLOOKUP(C75,$M$2:$M$17,_xlfn.ANCHORARRAY($L$2))</f>
        <v>Zachodniopomorskie</v>
      </c>
    </row>
    <row r="76" spans="2:6" x14ac:dyDescent="0.55000000000000004">
      <c r="B76" t="s">
        <v>693</v>
      </c>
      <c r="C76" t="s">
        <v>941</v>
      </c>
      <c r="F76" t="str" cm="1">
        <f t="array" ref="F76">_xlfn.XLOOKUP(C76,$M$2:$M$17,_xlfn.ANCHORARRAY($L$2))</f>
        <v>Małopolskie</v>
      </c>
    </row>
    <row r="77" spans="2:6" x14ac:dyDescent="0.55000000000000004">
      <c r="B77" t="s">
        <v>694</v>
      </c>
      <c r="C77" t="s">
        <v>943</v>
      </c>
      <c r="F77" t="str" cm="1">
        <f t="array" ref="F77">_xlfn.XLOOKUP(C77,$M$2:$M$17,_xlfn.ANCHORARRAY($L$2))</f>
        <v>Wielkopolskie</v>
      </c>
    </row>
    <row r="78" spans="2:6" x14ac:dyDescent="0.55000000000000004">
      <c r="B78" t="s">
        <v>697</v>
      </c>
      <c r="C78" t="s">
        <v>950</v>
      </c>
      <c r="F78" t="str" cm="1">
        <f t="array" ref="F78">_xlfn.XLOOKUP(C78,$M$2:$M$17,_xlfn.ANCHORARRAY($L$2))</f>
        <v>Warmińsko-Mazurskie</v>
      </c>
    </row>
    <row r="79" spans="2:6" x14ac:dyDescent="0.55000000000000004">
      <c r="B79" t="s">
        <v>698</v>
      </c>
      <c r="C79" t="s">
        <v>944</v>
      </c>
      <c r="F79" t="str" cm="1">
        <f t="array" ref="F79">_xlfn.XLOOKUP(C79,$M$2:$M$17,_xlfn.ANCHORARRAY($L$2))</f>
        <v>Pomorskie</v>
      </c>
    </row>
    <row r="80" spans="2:6" x14ac:dyDescent="0.55000000000000004">
      <c r="B80" t="s">
        <v>699</v>
      </c>
      <c r="C80" t="s">
        <v>942</v>
      </c>
      <c r="F80" t="str" cm="1">
        <f t="array" ref="F80">_xlfn.XLOOKUP(C80,$M$2:$M$17,_xlfn.ANCHORARRAY($L$2))</f>
        <v>Dolnośląskie</v>
      </c>
    </row>
    <row r="81" spans="2:6" x14ac:dyDescent="0.55000000000000004">
      <c r="B81" t="s">
        <v>701</v>
      </c>
      <c r="C81" t="s">
        <v>626</v>
      </c>
      <c r="F81" t="str" cm="1">
        <f t="array" ref="F81">_xlfn.XLOOKUP(C81,$M$2:$M$17,_xlfn.ANCHORARRAY($L$2))</f>
        <v>Opolskie</v>
      </c>
    </row>
    <row r="82" spans="2:6" x14ac:dyDescent="0.55000000000000004">
      <c r="B82" t="s">
        <v>703</v>
      </c>
      <c r="C82" t="s">
        <v>941</v>
      </c>
      <c r="F82" t="str" cm="1">
        <f t="array" ref="F82">_xlfn.XLOOKUP(C82,$M$2:$M$17,_xlfn.ANCHORARRAY($L$2))</f>
        <v>Małopolskie</v>
      </c>
    </row>
    <row r="83" spans="2:6" x14ac:dyDescent="0.55000000000000004">
      <c r="B83" t="s">
        <v>704</v>
      </c>
      <c r="C83" t="s">
        <v>949</v>
      </c>
      <c r="F83" t="str" cm="1">
        <f t="array" ref="F83">_xlfn.XLOOKUP(C83,$M$2:$M$17,_xlfn.ANCHORARRAY($L$2))</f>
        <v>Lubuskie</v>
      </c>
    </row>
    <row r="84" spans="2:6" x14ac:dyDescent="0.55000000000000004">
      <c r="B84" t="s">
        <v>706</v>
      </c>
      <c r="C84" t="s">
        <v>579</v>
      </c>
      <c r="F84" t="str" cm="1">
        <f t="array" ref="F84">_xlfn.XLOOKUP(C84,$M$2:$M$17,_xlfn.ANCHORARRAY($L$2))</f>
        <v>Łódzkie</v>
      </c>
    </row>
    <row r="85" spans="2:6" x14ac:dyDescent="0.55000000000000004">
      <c r="B85" t="s">
        <v>708</v>
      </c>
      <c r="C85" t="s">
        <v>945</v>
      </c>
      <c r="F85" t="str" cm="1">
        <f t="array" ref="F85">_xlfn.XLOOKUP(C85,$M$2:$M$17,_xlfn.ANCHORARRAY($L$2))</f>
        <v>Zachodniopomorskie</v>
      </c>
    </row>
    <row r="86" spans="2:6" x14ac:dyDescent="0.55000000000000004">
      <c r="B86" t="s">
        <v>712</v>
      </c>
      <c r="C86" t="s">
        <v>940</v>
      </c>
      <c r="F86" t="str" cm="1">
        <f t="array" ref="F86">_xlfn.XLOOKUP(C86,$M$2:$M$17,_xlfn.ANCHORARRAY($L$2))</f>
        <v>Mazowieckie</v>
      </c>
    </row>
    <row r="87" spans="2:6" x14ac:dyDescent="0.55000000000000004">
      <c r="B87" t="s">
        <v>716</v>
      </c>
      <c r="C87" t="s">
        <v>947</v>
      </c>
      <c r="F87" t="str" cm="1">
        <f t="array" ref="F87">_xlfn.XLOOKUP(C87,$M$2:$M$17,_xlfn.ANCHORARRAY($L$2))</f>
        <v>Podlaskie</v>
      </c>
    </row>
    <row r="88" spans="2:6" x14ac:dyDescent="0.55000000000000004">
      <c r="B88" t="s">
        <v>721</v>
      </c>
      <c r="C88" t="s">
        <v>942</v>
      </c>
      <c r="F88" t="str" cm="1">
        <f t="array" ref="F88">_xlfn.XLOOKUP(C88,$M$2:$M$17,_xlfn.ANCHORARRAY($L$2))</f>
        <v>Dolnośląskie</v>
      </c>
    </row>
    <row r="89" spans="2:6" x14ac:dyDescent="0.55000000000000004">
      <c r="B89" t="s">
        <v>723</v>
      </c>
      <c r="C89" t="s">
        <v>940</v>
      </c>
      <c r="F89" t="str" cm="1">
        <f t="array" ref="F89">_xlfn.XLOOKUP(C89,$M$2:$M$17,_xlfn.ANCHORARRAY($L$2))</f>
        <v>Mazowieckie</v>
      </c>
    </row>
    <row r="90" spans="2:6" x14ac:dyDescent="0.55000000000000004">
      <c r="B90" t="s">
        <v>724</v>
      </c>
      <c r="C90" t="s">
        <v>943</v>
      </c>
      <c r="F90" t="str" cm="1">
        <f t="array" ref="F90">_xlfn.XLOOKUP(C90,$M$2:$M$17,_xlfn.ANCHORARRAY($L$2))</f>
        <v>Wielkopolskie</v>
      </c>
    </row>
    <row r="91" spans="2:6" x14ac:dyDescent="0.55000000000000004">
      <c r="B91" t="s">
        <v>725</v>
      </c>
      <c r="C91" t="s">
        <v>943</v>
      </c>
      <c r="F91" t="str" cm="1">
        <f t="array" ref="F91">_xlfn.XLOOKUP(C91,$M$2:$M$17,_xlfn.ANCHORARRAY($L$2))</f>
        <v>Wielkopolskie</v>
      </c>
    </row>
    <row r="92" spans="2:6" x14ac:dyDescent="0.55000000000000004">
      <c r="B92" t="s">
        <v>727</v>
      </c>
      <c r="C92" t="s">
        <v>942</v>
      </c>
      <c r="F92" t="str" cm="1">
        <f t="array" ref="F92">_xlfn.XLOOKUP(C92,$M$2:$M$17,_xlfn.ANCHORARRAY($L$2))</f>
        <v>Dolnośląskie</v>
      </c>
    </row>
    <row r="93" spans="2:6" x14ac:dyDescent="0.55000000000000004">
      <c r="B93" t="s">
        <v>729</v>
      </c>
      <c r="C93" t="s">
        <v>941</v>
      </c>
      <c r="F93" t="str" cm="1">
        <f t="array" ref="F93">_xlfn.XLOOKUP(C93,$M$2:$M$17,_xlfn.ANCHORARRAY($L$2))</f>
        <v>Małopolskie</v>
      </c>
    </row>
    <row r="94" spans="2:6" x14ac:dyDescent="0.55000000000000004">
      <c r="B94" t="s">
        <v>730</v>
      </c>
      <c r="C94" t="s">
        <v>941</v>
      </c>
      <c r="F94" t="str" cm="1">
        <f t="array" ref="F94">_xlfn.XLOOKUP(C94,$M$2:$M$17,_xlfn.ANCHORARRAY($L$2))</f>
        <v>Małopolskie</v>
      </c>
    </row>
    <row r="95" spans="2:6" x14ac:dyDescent="0.55000000000000004">
      <c r="B95" t="s">
        <v>731</v>
      </c>
      <c r="C95" t="s">
        <v>943</v>
      </c>
      <c r="F95" t="str" cm="1">
        <f t="array" ref="F95">_xlfn.XLOOKUP(C95,$M$2:$M$17,_xlfn.ANCHORARRAY($L$2))</f>
        <v>Wielkopolskie</v>
      </c>
    </row>
    <row r="96" spans="2:6" x14ac:dyDescent="0.55000000000000004">
      <c r="B96" t="s">
        <v>732</v>
      </c>
      <c r="C96" t="s">
        <v>941</v>
      </c>
      <c r="F96" t="str" cm="1">
        <f t="array" ref="F96">_xlfn.XLOOKUP(C96,$M$2:$M$17,_xlfn.ANCHORARRAY($L$2))</f>
        <v>Małopolskie</v>
      </c>
    </row>
    <row r="97" spans="2:6" x14ac:dyDescent="0.55000000000000004">
      <c r="B97" t="s">
        <v>734</v>
      </c>
      <c r="C97" t="s">
        <v>948</v>
      </c>
      <c r="F97" t="str" cm="1">
        <f t="array" ref="F97">_xlfn.XLOOKUP(C97,$M$2:$M$17,_xlfn.ANCHORARRAY($L$2))</f>
        <v>Śląskie</v>
      </c>
    </row>
    <row r="98" spans="2:6" x14ac:dyDescent="0.55000000000000004">
      <c r="B98" t="s">
        <v>735</v>
      </c>
      <c r="C98" t="s">
        <v>951</v>
      </c>
      <c r="F98" t="str" cm="1">
        <f t="array" ref="F98">_xlfn.XLOOKUP(C98,$M$2:$M$17,_xlfn.ANCHORARRAY($L$2))</f>
        <v>Podkarpackie</v>
      </c>
    </row>
    <row r="99" spans="2:6" x14ac:dyDescent="0.55000000000000004">
      <c r="B99" t="s">
        <v>737</v>
      </c>
      <c r="C99" t="s">
        <v>941</v>
      </c>
      <c r="F99" t="str" cm="1">
        <f t="array" ref="F99">_xlfn.XLOOKUP(C99,$M$2:$M$17,_xlfn.ANCHORARRAY($L$2))</f>
        <v>Małopolskie</v>
      </c>
    </row>
    <row r="100" spans="2:6" x14ac:dyDescent="0.55000000000000004">
      <c r="B100" t="s">
        <v>739</v>
      </c>
      <c r="C100" t="s">
        <v>554</v>
      </c>
      <c r="F100" t="str" cm="1">
        <f t="array" ref="F100">_xlfn.XLOOKUP(C100,$M$2:$M$17,_xlfn.ANCHORARRAY($L$2))</f>
        <v>Lubelskie</v>
      </c>
    </row>
    <row r="101" spans="2:6" x14ac:dyDescent="0.55000000000000004">
      <c r="B101" t="s">
        <v>741</v>
      </c>
      <c r="C101" t="s">
        <v>943</v>
      </c>
      <c r="F101" t="str" cm="1">
        <f t="array" ref="F101">_xlfn.XLOOKUP(C101,$M$2:$M$17,_xlfn.ANCHORARRAY($L$2))</f>
        <v>Wielkopolskie</v>
      </c>
    </row>
    <row r="102" spans="2:6" x14ac:dyDescent="0.55000000000000004">
      <c r="B102" t="s">
        <v>742</v>
      </c>
      <c r="C102" t="s">
        <v>943</v>
      </c>
      <c r="F102" t="str" cm="1">
        <f t="array" ref="F102">_xlfn.XLOOKUP(C102,$M$2:$M$17,_xlfn.ANCHORARRAY($L$2))</f>
        <v>Wielkopolskie</v>
      </c>
    </row>
    <row r="103" spans="2:6" x14ac:dyDescent="0.55000000000000004">
      <c r="B103" t="s">
        <v>743</v>
      </c>
      <c r="C103" t="s">
        <v>942</v>
      </c>
      <c r="F103" t="str" cm="1">
        <f t="array" ref="F103">_xlfn.XLOOKUP(C103,$M$2:$M$17,_xlfn.ANCHORARRAY($L$2))</f>
        <v>Dolnośląskie</v>
      </c>
    </row>
    <row r="104" spans="2:6" x14ac:dyDescent="0.55000000000000004">
      <c r="B104" t="s">
        <v>745</v>
      </c>
      <c r="C104" t="s">
        <v>626</v>
      </c>
      <c r="F104" t="str" cm="1">
        <f t="array" ref="F104">_xlfn.XLOOKUP(C104,$M$2:$M$17,_xlfn.ANCHORARRAY($L$2))</f>
        <v>Opolskie</v>
      </c>
    </row>
    <row r="105" spans="2:6" x14ac:dyDescent="0.55000000000000004">
      <c r="B105" t="s">
        <v>746</v>
      </c>
      <c r="C105" t="s">
        <v>554</v>
      </c>
      <c r="F105" t="str" cm="1">
        <f t="array" ref="F105">_xlfn.XLOOKUP(C105,$M$2:$M$17,_xlfn.ANCHORARRAY($L$2))</f>
        <v>Lubelskie</v>
      </c>
    </row>
    <row r="106" spans="2:6" x14ac:dyDescent="0.55000000000000004">
      <c r="B106" t="s">
        <v>747</v>
      </c>
      <c r="C106" t="s">
        <v>554</v>
      </c>
      <c r="F106" t="str" cm="1">
        <f t="array" ref="F106">_xlfn.XLOOKUP(C106,$M$2:$M$17,_xlfn.ANCHORARRAY($L$2))</f>
        <v>Lubelskie</v>
      </c>
    </row>
    <row r="107" spans="2:6" x14ac:dyDescent="0.55000000000000004">
      <c r="B107" t="s">
        <v>748</v>
      </c>
      <c r="C107" t="s">
        <v>947</v>
      </c>
      <c r="F107" t="str" cm="1">
        <f t="array" ref="F107">_xlfn.XLOOKUP(C107,$M$2:$M$17,_xlfn.ANCHORARRAY($L$2))</f>
        <v>Podlaskie</v>
      </c>
    </row>
    <row r="108" spans="2:6" x14ac:dyDescent="0.55000000000000004">
      <c r="B108" t="s">
        <v>750</v>
      </c>
      <c r="C108" t="s">
        <v>949</v>
      </c>
      <c r="F108" t="str" cm="1">
        <f t="array" ref="F108">_xlfn.XLOOKUP(C108,$M$2:$M$17,_xlfn.ANCHORARRAY($L$2))</f>
        <v>Lubuskie</v>
      </c>
    </row>
    <row r="109" spans="2:6" x14ac:dyDescent="0.55000000000000004">
      <c r="B109" t="s">
        <v>751</v>
      </c>
      <c r="C109" t="s">
        <v>940</v>
      </c>
      <c r="F109" t="str" cm="1">
        <f t="array" ref="F109">_xlfn.XLOOKUP(C109,$M$2:$M$17,_xlfn.ANCHORARRAY($L$2))</f>
        <v>Mazowieckie</v>
      </c>
    </row>
    <row r="110" spans="2:6" x14ac:dyDescent="0.55000000000000004">
      <c r="B110" t="s">
        <v>752</v>
      </c>
      <c r="C110" t="s">
        <v>579</v>
      </c>
      <c r="F110" t="str" cm="1">
        <f t="array" ref="F110">_xlfn.XLOOKUP(C110,$M$2:$M$17,_xlfn.ANCHORARRAY($L$2))</f>
        <v>Łódzkie</v>
      </c>
    </row>
    <row r="111" spans="2:6" x14ac:dyDescent="0.55000000000000004">
      <c r="B111" t="s">
        <v>753</v>
      </c>
      <c r="C111" t="s">
        <v>948</v>
      </c>
      <c r="F111" t="str" cm="1">
        <f t="array" ref="F111">_xlfn.XLOOKUP(C111,$M$2:$M$17,_xlfn.ANCHORARRAY($L$2))</f>
        <v>Śląskie</v>
      </c>
    </row>
  </sheetData>
  <dataValidations count="1">
    <dataValidation type="list" allowBlank="1" showInputMessage="1" showErrorMessage="1" sqref="C2:C111" xr:uid="{768451EF-6CF2-45AA-8683-AAEF9087284E}">
      <formula1>$M$2:$M$17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E1C7D2-51A6-46F4-885D-7082887956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city</vt:lpstr>
      <vt:lpstr>cities with state_de</vt:lpstr>
      <vt:lpstr>cities_state_pl</vt:lpstr>
      <vt:lpstr>cities_state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Devind Rayhananda Widiartarifa</dc:creator>
  <cp:lastModifiedBy>Devind Rayhananda Widiartarifa</cp:lastModifiedBy>
  <dcterms:created xsi:type="dcterms:W3CDTF">2026-02-06T06:38:14Z</dcterms:created>
  <dcterms:modified xsi:type="dcterms:W3CDTF">2026-02-06T09:43:13Z</dcterms:modified>
</cp:coreProperties>
</file>